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s>
  <definedNames/>
  <calcPr/>
</workbook>
</file>

<file path=xl/sharedStrings.xml><?xml version="1.0" encoding="utf-8"?>
<sst xmlns="http://schemas.openxmlformats.org/spreadsheetml/2006/main" count="1398" uniqueCount="601">
  <si>
    <t>question_id</t>
  </si>
  <si>
    <t>question_text</t>
  </si>
  <si>
    <t>answer_text</t>
  </si>
  <si>
    <t>document_id</t>
  </si>
  <si>
    <t>How many staffs in Nam Yen Duct &amp; Drain Co., Ltd.?</t>
  </si>
  <si>
    <t>Which company is the fund manager of Banyen Ceramics employees' provident fund ?</t>
  </si>
  <si>
    <t>Saeng Prakai Fund Management Co., Ltd.</t>
  </si>
  <si>
    <t>Which one is a contact number of Pimchanok Lertsiri? [A] 053552418 [B] 053522814 [C] 053700160 [D] Pimchanok [E] partners@ovenrise.example</t>
  </si>
  <si>
    <t>A</t>
  </si>
  <si>
    <t>Is it true that starting in November 2026, Saeng Arun Primary School will join the swimming and water-safety program at the Bueng Phra Aquatic Centre?</t>
  </si>
  <si>
    <t>yes</t>
  </si>
  <si>
    <t>According to the Pang Mok Khiao Tea Factory Report, has the price for Grade A tea leaves decreased since September 30, 2026?</t>
  </si>
  <si>
    <t>no</t>
  </si>
  <si>
    <t>What is the hive rental fee (in bath) per Standard colony for the 2027 season?</t>
  </si>
  <si>
    <t>Which street is Phet Pailin Tower located on?</t>
  </si>
  <si>
    <t>Mittraphap Road</t>
  </si>
  <si>
    <t>From now on, who is required to approve each PageLedger or print server update prior to installation? [A] Thitima Rakdee [B] Karn Patanukhom [C] Narongrit Phanwet</t>
  </si>
  <si>
    <t>C</t>
  </si>
  <si>
    <t>ID</t>
  </si>
  <si>
    <t>Does Muan Chon have to arrange and pay for repair of any construction defect that the committee reports?</t>
  </si>
  <si>
    <t>Score</t>
  </si>
  <si>
    <t>Is it true that at Pa Sang Highland Bee Growers' Cooperative, orders of 10 hives or more receive a 5% discount on the rental fee?</t>
  </si>
  <si>
    <t>The incident report regarding the storm power failure in the Nursery and Reptile Incubation Wing affected the West Wing and outdoor enclosures.</t>
  </si>
  <si>
    <t>Is Nuchanart Rattanaphum, the Data Quality Officer, in charge of the crew schedule?</t>
  </si>
  <si>
    <t>Internal Memo: Closure of the Basement Stores
 and New River Level Stages Is this memo from Kanokwan Srisuk?</t>
  </si>
  <si>
    <t>Is boating allowed in Zone B of the Huai Sop Khong dam at 17:30 in February?</t>
  </si>
  <si>
    <t>Is that 59 baht per month for basic plan?</t>
  </si>
  <si>
    <t>Must orchards notify the Pollination Coordinator at least 48 hours before any insecticide spraying?</t>
  </si>
  <si>
    <t>According to the CafeReady Quick-Start Guide, if CafeReady dough is kept unopened in a freezer at −18 °C or colder, can it be stored indefinitely?</t>
  </si>
  <si>
    <t>Do you have to report the property damage to Mr. Sitthiwong within 7 days to receive compensation?</t>
  </si>
  <si>
    <t>Are guinea pigs allowed to be fasted before surgery at Sam Phrao Veterinary Hospital?</t>
  </si>
  <si>
    <t>Is there a career portal called Wiangthong67?</t>
  </si>
  <si>
    <t>For machine transplanting of KlaPhrom seedlings, what happens if your field is not ready when the crew arrives? [A] The cow flies to the moon and is never seen again. [B] You immediately fail this class and receive an ice cream. [C] Your plot is moved to the end of the route, and you are charged a fee. [D] Nong Kula buys a Lamborghini and a superyacht.</t>
  </si>
  <si>
    <t>Does the Huai Sop Khong Small Hydropower Dam have four access zones?</t>
  </si>
  <si>
    <t>What is the final step of converting Phuen Baan Chicken Rice paper stamp cards into Rich Bowl Club points? [A] Join the Rice Bowl Club in the Phuen Baan app with your mobile number. [B] Open the "My Club" screen and show your member QR code to the cashier. [C] Bring your paper cards to the order counter of any branch between 10:00 and 20:00. [D] Points appear in your account within 24 hours. [E] The cashier counts the stamps, scans your QR code and punches a "C" hole in each card. Keep the card until the points appear.</t>
  </si>
  <si>
    <t>D</t>
  </si>
  <si>
    <t>Which province is the Inkwell Yard Co-working Coffee Bar located? [A] Lampang [B] Qo'noS [C] Thailand [D] Lampang [E] Venice</t>
  </si>
  <si>
    <t>044</t>
  </si>
  <si>
    <t>Is code SK-05T published on October 7, 2026?</t>
  </si>
  <si>
    <t>How much is the monthly fee for the TideLine Fleet Plan, in baht?</t>
  </si>
  <si>
    <t>What year was the HSTU offer deferral FAQ last updated?</t>
  </si>
  <si>
    <t>What is the final digit of the registered clinic asset number DVTC-ICU-041_?</t>
  </si>
  <si>
    <t>According to the Kho Hong Hill Athletic Club tender, does each bid require a bid security of 15,000 baht?</t>
  </si>
  <si>
    <t>What's Inmaculada Cobo Martos's job title?</t>
  </si>
  <si>
    <t>commissioning engineer</t>
  </si>
  <si>
    <t>What is the operating limits of the AeroNest OK-90 kennels for patients?</t>
  </si>
  <si>
    <t>40 % to 60 % O2</t>
  </si>
  <si>
    <t>Who is in charge of the finance unit in the Muan Chon Project?</t>
  </si>
  <si>
    <t>Rattiya Chaimongkol</t>
  </si>
  <si>
    <t>Can I submit a request through HTSU Applicant Portal (no)</t>
  </si>
  <si>
    <t>Is a VeilGrind client allowed to send up to two witnesses to each destruction run?</t>
  </si>
  <si>
    <t>Is the monthly fee for the Cooperative plan under the TapCast Dawn Alert service 59 baht?</t>
  </si>
  <si>
    <t>According to the Pa Sang Highland Bee Growers' Cooperative rules, is it true you can only spray after 18:00?"</t>
  </si>
  <si>
    <t>Is it true that Thung Yao Rubber Estates Co., Ltd. requires a panel inspection before you can start tapping again?</t>
  </si>
  <si>
    <t>According to the Ban Ruen Kham Care Home rules, who among the following is not allowed to attend the Harvest Season Day Room? [A] A 67-year-old from Ban Tom who walks with a stick. [B] A wheelchair user who wants to attend on a Thursday. [C] An elder who requires tube feeding.</t>
  </si>
  <si>
    <t>According to the Sirilom Airports notice, which group of workers is scheduled for Wave A? [A] Airline and cargo agent staff [B] Sirilom Airports staff [C] Cleaning and catering contractors</t>
  </si>
  <si>
    <t>B</t>
  </si>
  <si>
    <t>The incident of the storm power failure in the Nursery and Reptile Incubation Wing occurred at 6 AM.</t>
  </si>
  <si>
    <t>According to the Nam Yen Duct &amp; Drain job posting, which of the following applicants is eligible to apply for the pipe fitter position? [A] Has 1 year of experience, a valid Level 1 card, and can work at height. [B] Has 3 years of experience, can work at height, and has a Level 1 test booked for 20 October 2026. [C] Has 4 years of experience, a valid Level 1 card, but cannot work in shafts.</t>
  </si>
  <si>
    <t>At Centro de Visitantes Quilacán, what is the bright night levy in CLP for a student with a university card?</t>
  </si>
  <si>
    <t>A 67-year-old visitor who is also a resident of the Coquimbo Region visits Centro de Visitantes Quilacán on a dark night. What is the levy in CLP?</t>
  </si>
  <si>
    <t>Does the reading room stay open during Phases 1 and 2 of the relocation?</t>
  </si>
  <si>
    <t>According to the Kaukajärvi Ice Centre rules, what is the minimum lead time in working days required for a blank-out of a painted logo?</t>
  </si>
  <si>
    <t>What document must you obtain from the local police station after an accident abroad according to Wheelguard?</t>
  </si>
  <si>
    <t>police report</t>
  </si>
  <si>
    <t>In which province was Bua Khiao Pharmacy Co., Ltd. founded?</t>
  </si>
  <si>
    <t>In memo Internal Memo: Closure of the Basement Stores
 and New River Level Stages. Did a lab rat escape on the night of September 22, 2026?</t>
  </si>
  <si>
    <t>Surat Thani</t>
  </si>
  <si>
    <t>On what date will the Na Kae Lom Town Municipality election be held?</t>
  </si>
  <si>
    <t>15 November 2026</t>
  </si>
  <si>
    <t>Does the fishing policy at the Huai Sop Khong dam limit each angler to two rods and ban nets?</t>
  </si>
  <si>
    <t>Is that 59 baht per month for plus plan?</t>
  </si>
  <si>
    <t>Dr. Orawan is a member of the incident review group for the Storm Power Failure in the Nursery and Reptile Incubation Wing.</t>
  </si>
  <si>
    <t>Is the minimum order requirement for hive rental 10 hives per orchard?</t>
  </si>
  <si>
    <t>Where is Sam Phrao Veterinary Hospital located? [A]Nong Khai [B]Narathiwat [C]Udon Thani [D]Chiang Rai [E]Nakhon Sawan [F]Chonburi</t>
  </si>
  <si>
    <t>Which animal must not be fasted before anaesthesia? [A]Rabbits [B]Dogs [C]Cats [D]Puppies [E]Kittens [F]Alpaca</t>
  </si>
  <si>
    <t>Which is not included in the New Fasting and Admission Rules for Planned Surgery at Sam Phrao Veterinary Hospital? [A]Fasting before anaesthesia [B]Pre-operative blood test [C]Tell the nurse when your pet last ate and drank, and about any allergies or medicines. [D]Sign the anaesthetic consent form and give a mobile number you will answer. [E]Wait while the nurse weighs your pet and fits its identity collar. [F]feed your pet immediately after surgery</t>
  </si>
  <si>
    <t>F</t>
  </si>
  <si>
    <t>Regarding the 2027 Young Cheesemaker Fellowship, what is the total number of calendar days in Phase 1?</t>
  </si>
  <si>
    <t>In the Island Lane Reserve for summer 2027, does the Split–Stari Grad route have the largest reserved deck space for island residents per departure among all routes from Split?</t>
  </si>
  <si>
    <t>Regarding the 2027 Young Cheesemaker Fellowship, what is the total number of calendar days in Phase 3?</t>
  </si>
  <si>
    <t>Regarding the 2027 Young Cheesemaker Fellowship, what is the final date of Phase 2 in April (answer as a number)?</t>
  </si>
  <si>
    <t>What is the first name of the Head of Visitor Services at Doi Kham Sai National Park?</t>
  </si>
  <si>
    <t>Sutthida</t>
  </si>
  <si>
    <t>Who proposed the rules for online camping and tent bookings at Pha Mok Ngoen?</t>
  </si>
  <si>
    <t>Rungnapa Bunyasit</t>
  </si>
  <si>
    <t>Are guest dogs allowed on the beach at Sai Kaew Thong Beach Resort during the turtle nesting season?</t>
  </si>
  <si>
    <t>which animal come ashore on Sai Kaew Thong Beach Resort to lay their eggs every year?</t>
  </si>
  <si>
    <t xml:space="preserve">sea turtles </t>
  </si>
  <si>
    <t>Was the count carried out by nine village volunteers and four Grade 9 students?</t>
  </si>
  <si>
    <t>How do you create a Dwello Handover Pass in the app? [A] Home settings &gt; Add a home &gt; Create Handover Pass [B] Home settings &gt; Lock &gt; Create Handover Pass [C] Home settings &gt; Moving out &gt; Create Handover Pass</t>
  </si>
  <si>
    <t>Which Casca Viva shade is described as a warm grey? [A] Cinza Pampa [B] Canela [C] Erva-mate [D] Grafite</t>
  </si>
  <si>
    <t>Is Pak Phanang Bay Container Terminal Co., Ltd. (PBCT) located in Nakhon Pathom?</t>
  </si>
  <si>
    <t>Which of the following is not a role at the centre? [A] Script Custodian [B] Local Collection officer [C] Chief Invigilator</t>
  </si>
  <si>
    <t>How many meters from the diffuser is site PP-01?</t>
  </si>
  <si>
    <t>How many working days does it normally take the Seller Verification team to check the new owner’s documents and match them to the bank account used for payouts?</t>
  </si>
  <si>
    <t>How many of the seedlings planted in Upper Ridge survived?</t>
  </si>
  <si>
    <t>Is "Send photos of the set-up" a step in the Procedure for the Move Crew?</t>
  </si>
  <si>
    <t>What is the name of the LINE group used to book a slot?</t>
  </si>
  <si>
    <t>PKR Roast Room</t>
  </si>
  <si>
    <t>Who is the Field Operations Lead?</t>
  </si>
  <si>
    <t>Arif Samaae</t>
  </si>
  <si>
    <t>At which plant is the Casca Viva order desk located?</t>
  </si>
  <si>
    <t>Sarandi plant</t>
  </si>
  <si>
    <t>At Sail Rock, can divers enter the vertical swim-through called “The Chimney” during a sweep dive?</t>
  </si>
  <si>
    <t>Internal Memo: Closure of the Basement Stores
and New River Level Stages Is this memo from Kanokwan Srisuk?</t>
  </si>
  <si>
    <t>027</t>
  </si>
  <si>
    <t>In memo Internal Memo: Closure of the Basement Stores
and New River Level Stages. Did a lab rat escape on the night of September 22, 2026?</t>
  </si>
  <si>
    <t>Internal Memo: Closure of the Basement Stores
and New River Level Stages : Is it true that during Phase 1, the reading room will be closed on Mondays and Tuesdays?</t>
  </si>
  <si>
    <t>Does the requirement require Bachelor's degree in finance, Computer Engineering, law or accounting</t>
  </si>
  <si>
    <t>Moving Home with Dwello: Who is the author of this document, and what is its main topic?
A. Thaweesuk Digital Home Co., Ltd. – A guide on how to reset, hand over, or relocate Dwello smart home devices when moving (Correct Answer)
B. Thaweesuk Digital Home Co., Ltd. – A user manual for installing the Dwello Eye camera and setup instructions
C. Dwello Customer Support Team – A price list for monthly and yearly Dwello Care subscription plans
D. Bangkok Housing Authority – A legal agreement contract for residential home and condo rentals1
E. Dwello Technical Operations – Step-by-step instructions for licensed plumbers to disconnect water valves
F. Thaweesuk Digital Home Co., Ltd. – Terms of service for registering mobile numbers and account passwords</t>
  </si>
  <si>
    <t>017</t>
  </si>
  <si>
    <t>Memo: Temporary Relocation of Station SK-05 (Ban
Phru) Who is this memo from, and to whom is it addressed?
A) From Dr. Chanida Yodsaeng (Network Manager) to Field technicians, data desk staff, and site hosts, Hat Yai cluster
B) From Arif Samaae (Field Operations Lead) to Nuchanart Rattanaphum (Data Quality Officer)
C) From Ban Phru Municipal School to the Songkhla Lake Basin Air Monitoring Network
D) From Nuchanart Rattanaphum (Data Quality Officer) to the Hospital Director
E) From Dr. Chanida Yodsaeng (Network Manager) to Arif Samaae (Field Operations Lead) only
F) From Field technicians to Dr. Chanida Yodsaeng (Network Manager)</t>
  </si>
  <si>
    <t>007</t>
  </si>
  <si>
    <t>What is Casca Viva?
A) A synthetic dye service for large-scale textile manufacturers
B) A line of piece-dyed natural shades obtained from spent black wattle bark for small fashion labels (Correct Answer)
C) A leather tanning extract produced directly by Extratos Vale do Caí Ltda.
D) A biological wastewater treatment process used in Porto Alegre
E) A brand of organic T-shirts and school uniforms made of cotton knit
F) A new type of reactive-dye chemical requiring high salt consumption</t>
  </si>
  <si>
    <t>037</t>
  </si>
  <si>
    <t>How many native seedlings were planted in the Seedling Survival Survey Summary?</t>
  </si>
  <si>
    <t>047</t>
  </si>
  <si>
    <t>How much does the Peron Point Diffuser Renewal Project cost? Answer only with the number, without the currency unit.</t>
  </si>
  <si>
    <t>057</t>
  </si>
  <si>
    <t>If witnesses are unable to attend in person, how much does the video recording service cost (in THB per run)? Please respond with numbers only (e.g., 5000).</t>
  </si>
  <si>
    <t>Are open orders transferred to the new owner when a Phuengmart shop is transferred?</t>
  </si>
  <si>
    <t>097</t>
  </si>
  <si>
    <t>What plant does Warnbro Sound Water Company Pty Ltd (WSWC) own and operate?</t>
  </si>
  <si>
    <t>Peron Point</t>
  </si>
  <si>
    <t>For the VeilGrind destruction service, which specific areas are witnesses allowed to photograph during the destruction run?</t>
  </si>
  <si>
    <t>Based on the inspection report for the September 14 barge strike at Khlong Sakae Bridge, were two of the five timber rubbing strips missing on the upstream steel fender frame?</t>
  </si>
  <si>
    <t>กรวยป้อนวัสดุของเครื่องบด และ ถังรองรับเกล็ดพลาสติกบด</t>
  </si>
  <si>
    <t>Step-by-Step Guide to the Shared Sample Roast Room : How much green coffee can the SR-1 sample roaster process per batch?</t>
  </si>
  <si>
    <t>takes batches of 300 g to 1 kg of green coffee.</t>
  </si>
  <si>
    <t>087</t>
  </si>
  <si>
    <t>Is it true that the seal mismatch memo at Pak Phanang Bay Container Terminal was sent by Sirintra Chaowalit, the Terminal Security Manager?</t>
  </si>
  <si>
    <t>Who decides when trucks queuing for Lane H2 at Pak Phanang Bay Container Terminal must leave and return later? [A]Weerapong Thongmee [B]Benjawan Phromsuk [C]The duty shift supervisor [D]Sirintra Chaowalit [E]The shipper's agent [F]The Customs Liaison Officer</t>
  </si>
  <si>
    <t>On which date will the next site coordination meeting for the Fernwood Wat Ket Residence project be held after Meeting No. 17? [A] 24 September 2026 [B] 9 October 2026 [C] 22 October 2026 [D] 24 October 2026 [E] 31 October 2026 [F] 5 November 2026</t>
  </si>
  <si>
    <t>What was the cut-off date for buyer modification requests on units on levels 3 to 12 at the Fernwood Wat Ket Residence project? [A]30 June 2026 [B]31 August 2026 [C]31 October 2026 [D]15 October 2026 [E]12 September 2026 [F]19 September 2026</t>
  </si>
  <si>
    <t>What was the narrowest diameter, in millimetres, measured on the haul rope at the Matairangi Cable Car Company's inspection on 28 September 2026?</t>
  </si>
  <si>
    <t>What value of the dynamic factor is used in the rope tension calculation in the Matairangi Cable Car Company memo on the temporary car capacity limit?</t>
  </si>
  <si>
    <t>In July 2026, what was the callout charge, in baht, per visit outside contract hours for a Basic contract customer of Rongnam Lift Engineering?</t>
  </si>
  <si>
    <t>What is the name of the person who approved the terms for selling cocoa shell and fines from the Kaase plant in Kumasi?</t>
  </si>
  <si>
    <t>Abena Owusu-Ansah</t>
  </si>
  <si>
    <t>Who supervises the denture laboratory of the FitAgain service at Prasan Yim Dental Clinic?</t>
  </si>
  <si>
    <t xml:space="preserve"> Dr. Wilaiwan Chanthawong.</t>
  </si>
  <si>
    <t>Which room do patients go to in order to collect their repaired denture at the FitAgain service of Prasan Yim Dental Clinic?</t>
  </si>
  <si>
    <t>Room 204</t>
  </si>
  <si>
    <t>Internal Memo: Closure of the Basement Stores
 and New River Level Stages : Is it true that during Phase 1, the reading room will be closed on Mondays and Tuesdays?</t>
  </si>
  <si>
    <t>What is the main reason the Khlong Sakae Bridge was downgraded from Condition Class B to Condition Class C after the barge strike?
A) The bridge's total weight capacity exceeded its design limit.
B) Pier P3 suffered concrete spalling, exposed reinforcement, and diagonal cracks.
C) All eight bearings at Pier P3 were displaced beyond the allowable tolerance.
D) The underwater survey found severe scour beneath all bridge piers.
E) Span 2 collapsed due to the impact of the barge.
F) The bridge's steel girders were permanently deformed by the collision.</t>
  </si>
  <si>
    <t>Who has the authority to approve the removal of the interim traffic restrictions on the Khlong Sakae Bridge?
A) Wilaiwan Thongmuen, Asset Manager.
B) Arthit Bunyasarn, Dive Supervisor.
C) The toll plaza duty engineer.
D) Krungkao Crossing's maintenance contractor.
E) Chatchai Ruangsrisuk, Lead Inspector, after Actions 1 and 2 are completed.
F) The Route 9 shuttle service operator.</t>
  </si>
  <si>
    <t>E</t>
  </si>
  <si>
    <t>How many working days does a case lawyer have to contact a client to arrange the return of original documents after a case is closed?</t>
  </si>
  <si>
    <t>Does the Wheelguard Border Pass cover driving in Singapore?</t>
  </si>
  <si>
    <t>Within how many hours must a staff member report a missing or damaged original document to the Managing Lawyer after discovering the issue?</t>
  </si>
  <si>
    <t>Why did the robots experience more "marker not found" stops?</t>
  </si>
  <si>
    <t>The epoxy sealer made markers unreadable or too glossy.</t>
  </si>
  <si>
    <t>What must technicians do before releasing a replaced marker?</t>
  </si>
  <si>
    <t>Scan the new marker and enter its code into the console.</t>
  </si>
  <si>
    <t>At Torquewell Auto Service, does Siriporn Kaewmala make the final decision on whether a customer-supplied part is safe to fit?</t>
  </si>
  <si>
    <t>Does a tent that is merely wet from dew or fog count as damaged when returned at Pha Mok Ngoen campground?</t>
  </si>
  <si>
    <t>009</t>
  </si>
  <si>
    <t>089</t>
  </si>
  <si>
    <t>What is the maximum rest-period advance that a household on Blocks D to F may request? [A] 3,500 baht [B] 4,500 baht [C] 5,000 baht [D] 6,000 baht [E] 7,500 baht</t>
  </si>
  <si>
    <t>019</t>
  </si>
  <si>
    <t>According to the Minutes of Site Coordination Meeting No. 17, was the tower crane dismantled on 10 October 2026?</t>
  </si>
  <si>
    <t>What daily wage is paid for weeding and firebreak clearing during the rest period? 
[A] 320 baht [B] 350 baht [C] 380 baht [D] 400 baht [E] 450 baht</t>
  </si>
  <si>
    <t>What is the standard daily fee per elder at Ban Ruen Kham Care Home in 2026?
[A] 40 baht [B] 90 baht [C] 100 baht [D] 120 baht [E] 150 baht</t>
  </si>
  <si>
    <t>029</t>
  </si>
  <si>
    <t>What is the maximum speed limit in km/h between marker km 3.0 and marker km 5.4 on the access road?</t>
  </si>
  <si>
    <t>039</t>
  </si>
  <si>
    <t>How much is the fee in baht for a standard GateKey pass issued to employees of ground handling companies?</t>
  </si>
  <si>
    <t>049</t>
  </si>
  <si>
    <t>What is the late re-issue surcharge in baht for a pass holder re-issued after their wave has closed without a waiver?</t>
  </si>
  <si>
    <t>Is Stage 1 of the revised river level designated for protection?</t>
  </si>
  <si>
    <t>What room number houses the Commercial Office where form JM-12 must be submitted?</t>
  </si>
  <si>
    <t>059</t>
  </si>
  <si>
    <t>Which resort is undergoing the riser retrofit project?</t>
  </si>
  <si>
    <t>Phu Lom Hill Resort</t>
  </si>
  <si>
    <t>069</t>
  </si>
  <si>
    <t>Who is the Managing Director of Bua Khiao Pharmacy?</t>
  </si>
  <si>
    <t>Phichai Rattanakorn</t>
  </si>
  <si>
    <t>At Mae Haad, must divers report a starfish in the coral nursery and leave it in place?</t>
  </si>
  <si>
    <t>079</t>
  </si>
  <si>
    <t>TideLine Fleet Plan includes monthly price: 199 baht per boat, not including VAT</t>
  </si>
  <si>
    <t>At Chok Khao Community Health Clinic, which of the following can be collected from a PillPost medicine locker? [A] Strong pain medicines [B] Sleeping tablets [C] Insulin pens [D] Dressing packs [E] Warfarin</t>
  </si>
  <si>
    <t>Which of the following languages does the Nong Lom chatbot of Jomtien Crest Residences NOT answer in? [A] Thai [B] English [C] Russian [D] Japanese [E] Simplified Chinese</t>
  </si>
  <si>
    <t>Does the Point Peron boat ramp stay open during the November 2026 diffuser works?</t>
  </si>
  <si>
    <t>On which day is self-collection at Sungei Tengah dock, Bay 2 NOT available for Tengah Leaf Towers orders? [A] Sunday [B] Monday [C] Tuesday [D] Wednesday [E] Thursday</t>
  </si>
  <si>
    <t>According to the Thanarak Rail Logistics customer guide, what is the detention charge (in baht, excluding VAT) per wagon for each started 24-hour period that a THC-55 wagon stays on a private siding after its free time has ended?</t>
  </si>
  <si>
    <t>From 6 October 2026, above what order value (in SGD, before GST) is delivery free for Tengah Leaf Towers' Central zone?</t>
  </si>
  <si>
    <t>At Kaewsiri Savings Bank, above what amount of cash (in baht) must a third-party depositor show a Thai ID card or passport?</t>
  </si>
  <si>
    <t>What is the name of the app for booking shared red-truck rides in Chiang Mai and Lamphun?</t>
  </si>
  <si>
    <t>Daenglift</t>
  </si>
  <si>
    <t>According to the NoctiTrace HS-2 patient leaflet of Mae Ping Sleep and Breathing Centre, which sleep physician is named as reporting the home sleep test results?</t>
  </si>
  <si>
    <t>According to the Lom Sak Community Legal Aid Centre memo, was the original land title deed of a client missing for 9 days on July 22, 2026?</t>
  </si>
  <si>
    <t>Dr. Phakhawadee Srisombat</t>
  </si>
  <si>
    <t>Under the Mosor Obalna Linija Island Lane Reserve memo, which staff member at Gat Sv. Petra releases unclaimed reserved lanes to the general queue?</t>
  </si>
  <si>
    <t>duty berth supervisor</t>
  </si>
  <si>
    <t>What visual symbol appears on the handlebar display of a Plaew scooter when a Rain Pause begins? :  [A] Red umbrella ,[B] Blue rain symbol , [C] Yellow warning triangle ,[D] Green lightning bolt</t>
  </si>
  <si>
    <t>Which animal infant was safely moved into the heated transport cabinet during the power failure alongside the two slow lorises?   : [A] Macaque , [B] Forest tortoise , [C] Binturong , [D] Otter</t>
  </si>
  <si>
    <t>03</t>
  </si>
  <si>
    <t>What is provided free of charge to fellows only during Phase 1 of the Young Cheesemaker Fellowship?  : [A] A brand new scooter , [B] Accommodation in the farm dormitory and three meals a day , [C] Unlimited cheese tasting passes , [D] Free dairy cows</t>
  </si>
  <si>
    <t>What is the reduced top speed in kilometers per hour of a Plaew e-scooter once a Rain Pause begins?</t>
  </si>
  <si>
    <t>How many eggs roughly does a female sea turtle lay in a flask-shaped chamber according to the Shellnight guide?</t>
  </si>
  <si>
    <t>How many pickup trucks with 10 seats each are provided for the sunrise shuttle by the Ban Huai Rin Community Shuttle Group?</t>
  </si>
  <si>
    <t>What is the cut-off time for dogs and cats to stop eating food on the night before planned surgery at Sam Phrao Veterinary Hospital?</t>
  </si>
  <si>
    <t>22:00</t>
  </si>
  <si>
    <t>Who is the Managing Director of Huai Bong Dairy Farm?</t>
  </si>
  <si>
    <t>Orathai Sukpracha</t>
  </si>
  <si>
    <t>What component of the automatic transfer switch was corroded and caused the East Wing power failure?</t>
  </si>
  <si>
    <t>control relay</t>
  </si>
  <si>
    <t>002</t>
  </si>
  <si>
    <t>012</t>
  </si>
  <si>
    <t>022</t>
  </si>
  <si>
    <t>Moving Home with Dwello: Who is the author of this document, and what is its main topic?
 A. Thaweesuk Digital Home Co., Ltd. – A guide on how to reset, hand over, or relocate Dwello smart home devices when moving (Correct Answer)
 B. Thaweesuk Digital Home Co., Ltd. – A user manual for installing the Dwello Eye camera and setup instructions
 C. Dwello Customer Support Team – A price list for monthly and yearly Dwello Care subscription plans
 D. Bangkok Housing Authority – A legal agreement contract for residential home and condo rentals1
 E. Dwello Technical Operations – Step-by-step instructions for licensed plumbers to disconnect water valves
 F. Thaweesuk Digital Home Co., Ltd. – Terms of service for registering mobile numbers and account passwords</t>
  </si>
  <si>
    <t>In which country is MATAIRANGI CABLE CAR COMPANY LTD located? [A]New Zealand [B]New York [C]Thailand</t>
  </si>
  <si>
    <t>032</t>
  </si>
  <si>
    <t>Who is a staff member at Rongnam Lift Engineering Co., Ltd.? [A]Narumon Kaewchai [B]Narumon Kaewprasert [C]Narumon Rakpor</t>
  </si>
  <si>
    <t>042</t>
  </si>
  <si>
    <t>According to the TERMS AND CONDITIONS FOR THE SALE OF COCOA BEAN SHELL AND WINNOWING FINES, what is the telephone number of Yaw Boakye-Danquah? [A]+123 45 678 9101 [B]+233 32 202 4431 [C]+999 29 781 6767</t>
  </si>
  <si>
    <t>052</t>
  </si>
  <si>
    <t>What is the price (in Baht) for re-attaching or replacing the first tooth at Prasan Yim Dental Clinic?</t>
  </si>
  <si>
    <t>062</t>
  </si>
  <si>
    <t>How many petrol generators did the Saeng Thian Relief Foundation lend?</t>
  </si>
  <si>
    <t>072</t>
  </si>
  <si>
    <t>How many certificates were affected on RianRuu Online?</t>
  </si>
  <si>
    <t>082</t>
  </si>
  <si>
    <t>In which province is the Don Sawan Kham Town Municipality located?</t>
  </si>
  <si>
    <t>Maha Sarakham</t>
  </si>
  <si>
    <t>092</t>
  </si>
  <si>
    <t>Who is the prosthodontist at Prasan Yim Dental Clinic?</t>
  </si>
  <si>
    <t>Wilaiwan Chanthawong</t>
  </si>
  <si>
    <t>Who decides on drone permissions at the Huai Sop Khong Small Hydropower Dam?</t>
  </si>
  <si>
    <t>Wichai Lertpanya</t>
  </si>
  <si>
    <t>What is the main reason the Khlong Sakae Bridge was downgraded from Condition Class B to Condition Class C after the barge strike?
 A) The bridge's total weight capacity exceeded its design limit.
 B) Pier P3 suffered concrete spalling, exposed reinforcement, and diagonal cracks.
 C) All eight bearings at Pier P3 were displaced beyond the allowable tolerance.
 D) The underwater survey found severe scour beneath all bridge piers.
 E) Span 2 collapsed due to the impact of the barge.
 F) The bridge's steel girders were permanently deformed by the collision.</t>
  </si>
  <si>
    <t>If Thawatchai Inthara cannot be reached, who should be called? [A] Duangporn [B] Chaiyasit [C] Director [D] Pimchanok [E] Nakhon Sawan</t>
  </si>
  <si>
    <t>What is the deposit percentage for a pilot lot? [A] 100 [B] 20 [C] 25 [D] 50</t>
  </si>
  <si>
    <t>What company or service is VeilGrind the witnessed destruction service of? [A] Kanchanavanich [B] Thung Lung Polymer [C] pharmaceutical blister</t>
  </si>
  <si>
    <t>In a destruction run, a scheduled session in which a consignment is fed into the dedicated VeilGrind shredder line takes place in which Hall number?</t>
  </si>
  <si>
    <t>What is the Bottom DO (% sat.) for PP-06?</t>
  </si>
  <si>
    <t>How much allowance in baht does SPEB pay the Script Custodian per examination session handled?</t>
  </si>
  <si>
    <t>077</t>
  </si>
  <si>
    <t>What is the phone number to call the Dwello Help Centre?</t>
  </si>
  <si>
    <t>02 118 4630</t>
  </si>
  <si>
    <t>Who declared the Revised River Level Stages in stages 1 and 2?</t>
  </si>
  <si>
    <t>Thawatchai Inthara</t>
  </si>
  <si>
    <t>Where is anything left in the room after 16:30 moved to during "Taking coffee home and clearing up"?</t>
  </si>
  <si>
    <t>the lost-and-found shelf</t>
  </si>
  <si>
    <t>What visual symbol appears on the handlebar display of a Plaew scooter when a Rain Pause begins? : [A] Red umbrella ,[B] Blue rain symbol , [C] Yellow warning triangle ,[D] Green lightning bolt</t>
  </si>
  <si>
    <t>What color are the small gym towels specified in the tender? [A] White [B] Grey [C] Blue [D] Black [E] Green [F] Yellow</t>
  </si>
  <si>
    <t>Which of the following is the internal telephone extension for the survey control desk? [A] 0580 [B] 3309 [C] 3307 [D] 6607</t>
  </si>
  <si>
    <t>If an animal is injured or distressed outside office hours, which number should be contacted? [A] 2000 [B] 2024 [C] 2404 [D] 2410</t>
  </si>
  <si>
    <t>How many seats are there in Sea Breeze Hall for the finals?</t>
  </si>
  <si>
    <t>How much does FixedPort cost per month?</t>
  </si>
  <si>
    <t>How much is the animal-use deposit per production?</t>
  </si>
  <si>
    <t>What is the name of the media contact for Ablekuma Kasa Community Radio?</t>
  </si>
  <si>
    <t>Selasi Agbenyega</t>
  </si>
  <si>
    <t>What is Ornanong Srisamai’s position at Ruamsai Broadband?</t>
  </si>
  <si>
    <t>Addressing Desk Lead</t>
  </si>
  <si>
    <t>What color cap is used for pupils who cannot yet float without help?</t>
  </si>
  <si>
    <t>Red</t>
  </si>
  <si>
    <t>From TIME TO REACH THE TARGET OXYGEN LEVEL, what does the variable Q means?
 A) The target oxygen fraction 
 B) The fresh-gas flow ( L/min)
 C) The fresh-gas flow (L/max)
 D) The gross volume of the kennel</t>
  </si>
  <si>
    <t>What colour is the tamper-evident bag in which exam scripts are sealed? A. White B. Grey C. Red D. Yellow</t>
  </si>
  <si>
    <t>From  TIME TO REACH THE TARGET OXYGEN LEVEL, what does the variable Q means?
A) The target oxygen fraction 
B) The fresh-gas flow ( L/min)
C) The fresh-gas flow  (L/max)
D) The gross volume of the kennel</t>
  </si>
  <si>
    <t>When is the next scheduled review?
A) February 2025
B) July 2026
C) September 2026
D) September 2027</t>
  </si>
  <si>
    <t>From commercial terms :  6% of monthly gross sales above  is what amount of number
A) 5,000 baht
B) 8,200 baht
C) 9,500 baht
D) 120,000 baht</t>
  </si>
  <si>
    <t>What is the number of the step for placing a flag or a bamboo pole at each corner of the plot so the operator can find it</t>
  </si>
  <si>
    <t>what is the transplanting fee</t>
  </si>
  <si>
    <t>According to the Lom Sak Community Legal Aid Centre memo, on what date do the new rules for holding clients' original documents take effect?
 A) 22 July 2026
 B) 9 September 2026
 C) 14 September 2026
 D) 1 October 2026
 E) 16 October 2026
 F) 23 October 2026</t>
  </si>
  <si>
    <t xml:space="preserve">a member can convert at most how many paper cards </t>
  </si>
  <si>
    <t>The boiler is a Lumbre HB-320, nominal output 320
kW, serial number is what number?</t>
  </si>
  <si>
    <t>HB320-26-0418</t>
  </si>
  <si>
    <t>what is the role of the group that is elected by villagers to own, operate and maintain the asset after handover</t>
  </si>
  <si>
    <t>Village Asset Committee</t>
  </si>
  <si>
    <t>What's the name of the security , answer only the name</t>
  </si>
  <si>
    <t>Wiangthong</t>
  </si>
  <si>
    <t>On which day of the week are cupping sessions held in the Sample Roast Room? A. Tuesday B. Wednesday C. Thursday D. Friday</t>
  </si>
  <si>
    <t>On which days are regularly scheduled VeilGrind destruction runs held? A. Monday and Wednesday B. Tuesday and Thursday C. Wednesday and Friday D. Saturday and Sunday</t>
  </si>
  <si>
    <t>How many nozzles does the offshore brine diffuser of the Peron Point plant have in total?</t>
  </si>
  <si>
    <t>Within how many days must the new owner accept a Phuengmart shop transfer request?</t>
  </si>
  <si>
    <t>How many minutes does each slot in the Sample Roast Room last?</t>
  </si>
  <si>
    <t>Who is the Head of Script Logistics at the Saeng Panya National Examinations Board?</t>
  </si>
  <si>
    <t>Duangporn Thepkasem</t>
  </si>
  <si>
    <t>Which company will cut off the worn nozzles and clamp on the new ones?</t>
  </si>
  <si>
    <t>Garnet Bay Diving Services</t>
  </si>
  <si>
    <t>Who signs the Certificate of Destruction?</t>
  </si>
  <si>
    <t>Natthaya Sirikhet</t>
  </si>
  <si>
    <t>Memo: Temporary Relocation of Station SK-05 (Ban
 Phru) Who is this memo from, and to whom is it addressed?
 A) From Dr. Chanida Yodsaeng (Network Manager) to Field technicians, data desk staff, and site hosts, Hat Yai cluster
 B) From Arif Samaae (Field Operations Lead) to Nuchanart Rattanaphum (Data Quality Officer)
 C) From Ban Phru Municipal School to the Songkhla Lake Basin Air Monitoring Network
 D) From Nuchanart Rattanaphum (Data Quality Officer) to the Hospital Director
 E) From Dr. Chanida Yodsaeng (Network Manager) to Arif Samaae (Field Operations Lead) only
 F) From Field technicians to Dr. Chanida Yodsaeng (Network Manager)</t>
  </si>
  <si>
    <t>010</t>
  </si>
  <si>
    <t>020</t>
  </si>
  <si>
    <t>030</t>
  </si>
  <si>
    <t>According to the Lom Sak Community Legal Aid Centre memo, on what date do the new rules for holding clients' original documents take effect?
A) 22 July 2026
B) 9 September 2026
C) 14 September 2026
D) 1 October 2026
E) 16 October 2026
F) 23 October 2026</t>
  </si>
  <si>
    <t xml:space="preserve">In aisles B25–B28 of Phrom Daen Fulfilment DC-2, what caused 171 floor markers to become Grade C (unreadable or lifting)?
A) Solvent was not allowed to dry properly
B) The epoxy sealer was applied twice
C) Heavy robot traffic damaged the marker surface
D) The floor tiles were cleaned with an unapproved chemical
E) The alignment template was placed incorrectly
F) High temperatures caused the adhesive to melt </t>
  </si>
  <si>
    <t>050</t>
  </si>
  <si>
    <t>According to the Hillward Counselling Service meeting minutes, starting from 5 November 2026, on which day of the week will the Field Room van visit Chiang Klang district?
A) Every Tuesday
B) Every Wednesday
C) Every Thursday
D) First and third Friday of each month
E) Second and fourth Saturday of each month
F) First Sunday of each month</t>
  </si>
  <si>
    <t>Who has the authority to approve the removal of the interim traffic restrictions on the Khlong Sakae Bridge?
 A) Wilaiwan Thongmuen, Asset Manager.
 B) Arthit Bunyasarn, Dive Supervisor.
 C) The toll plaza duty engineer.
 D) Krungkao Crossing's maintenance contractor.
 E) Chatchai Ruangsrisuk, Lead Inspector, after Actions 1 and 2 are completed.
 F) The Route 9 shuttle service operator.</t>
  </si>
  <si>
    <t>090</t>
  </si>
  <si>
    <t xml:space="preserve">As specified in the 2027 Apiary Placement Permit Guide, what is the minimum age required to apply for a permit? </t>
  </si>
  <si>
    <t>040</t>
  </si>
  <si>
    <t>Based on Section 4 of the 2027 Apiary Placement Permit Guide, how much is a permit holder charged per colony for each month on site?</t>
  </si>
  <si>
    <t>According to the inspection report for Phrom Daen Fulfilment DC-2, how many 'marker not found' stops did the HiveRunner H3 robots in Zone B log in the week following the floor recoating?</t>
  </si>
  <si>
    <t>Based on the 2027 permit guide, which cave is maintained at a temperature of 13 °C?</t>
  </si>
  <si>
    <t>What daily wage is paid for weeding and firebreak clearing during the rest period? 
 [A] 320 baht [B] 350 baht [C] 380 baht [D] 400 baht [E] 450 baht</t>
  </si>
  <si>
    <t>Cave Basse</t>
  </si>
  <si>
    <t>060</t>
  </si>
  <si>
    <t>According to the Tha Uthen Riverbank Savings Cooperative press release, who is the Manager of the cooperative?</t>
  </si>
  <si>
    <t>Kanyarat Sriwong</t>
  </si>
  <si>
    <t>070</t>
  </si>
  <si>
    <t>According to the Moonfield Valley Festival 2026 Lost Property Notice, to which district in Chiang Mai were all found items moved?</t>
  </si>
  <si>
    <t>Mae Rim</t>
  </si>
  <si>
    <t>080</t>
  </si>
  <si>
    <t>At 22:40 on Saturday, a resident contacts the Nong Lom Chatbot after smelling something burning and seeing smoke in a common area. The resident does not explicitly ask to speak to a staff member or human. Because this occurs outside the normal handover office hours, the chatbot should wait until 10:00 on the next working day to arrange a response rather than initiate an urgent handover and callback within five minutes. Is this statement correct?</t>
  </si>
  <si>
    <t>A patient receives a six-digit collection code for refrigerated medicine stored in a PillPost locker. The code is valid for 72 hours. The patient plans to collect the medicine 48 hours after receiving the code, reasoning that the code will still be valid at that time. Under the PillPost policy, the medicine may remain in the refrigerated locker for 48 hours because the collection code has not yet expired. Is this statement correct?</t>
  </si>
  <si>
    <t>Which animal infant was safely moved into the heated transport cabinet during the power failure alongside the two slow lorises? : [A] Macaque , [B] Forest tortoise , [C] Binturong , [D] Otter</t>
  </si>
  <si>
    <t>A fleet customer with a signed account brings five lines of customer-supplied parts to Torquewell Auto Service, and all five part lines are accepted for installation. Because the standard handling fee is 150 baht per part line and capped at 600 baht per visit, the customer must pay a 600-baht handling fee. Is this statement correct?</t>
  </si>
  <si>
    <t>What temperature should be used to bake butter croissants and pain au chocolat in a convection oven?
Choices: A. 160°C B. 165°C  C. 175°C D. 180°C E. 26–28°C F. 30°C</t>
  </si>
  <si>
    <t>A 52-year-old patient uses CPAP at home and also has a pacemaker. The patient's physician has specifically written “home test on therapy.” According to the NoctiTrace HS-2 policy, which statement correctly describes whether the patient can use the home sleep test?
A. The patient cannot use the test because all CPAP users are excluded without exception. B. The patient cannot use the test because having a pacemaker is an exclusion criterion. C. The patient can use the test because the physician has authorized home testing on therapy, and having a pacemaker is allowed. D. The patient can use the test only if CPAP is stopped during both test nights. E. The patient cannot use the test because both CPAP use and a pacemaker independently disqualify the patient. F. The patient can use the test only if the physician removes the pacemaker restriction.</t>
  </si>
  <si>
    <t>An 11-year-old Junior Saver customer wants to deposit 3,999 loose coins with a total value of 3,999 baht. According to Kaewsiri Savings Bank's policy, which statement correctly describes the requirements and fee for this deposit?
A. The deposit is free because all loose-coin deposits made by Junior Saver customers are exempt from fees. B. The deposit is free because the total value is below 5,000 baht, but one business day's advance notice is required. C. The normal 2% fee applies to the entire loose-coin deposit, and because there are more than 2,000 coins, at least one business day's advance notice is required and the deposit must be made at a coin-sorting branch. D. The 2% fee applies only to the 999 baht exceeding the Junior Saver free limit, with no advance notice required. E. The normal 2% fee applies to the entire deposit, but no advance notice is required because the customer is under 15. F. The deposit cannot be accepted because Junior Saver customers may not deposit more than 3,000 loose coins per visit.</t>
  </si>
  <si>
    <t>A THC-55 wagon is placed at a siding at 08:00 on Monday. The customer submits a valid release notice at 21:00 on Wednesday. Given that the free time for a THC-55 wagon is 36 hours and detention is charged for each started 24-hour period after the free time expires, how much is the total detention charge in baht?</t>
  </si>
  <si>
    <t>On 15 July 2027, a ferry from Split to Vela Luka is scheduled to depart at 14:35. Under the Island Lane Reserve policy, unused reserved lane space is released before departure according to the route-specific release time. How many minutes after 13:00 will the unused reserved lane space be released?</t>
  </si>
  <si>
    <t>During the Tower C shutdown, a customer orders 6 kg of Butterhead lettuce, 7 kg of Green oakleaf, 6 kg of Red romaine, and 6 kg of Tuscan kale. The customer declines all offered substitutes. Green oakleaf can still be supplied at 50% of the ordered quantity, while the other three products are unavailable. Based on the applicable credit rates, what is the total credit amount in SGD?</t>
  </si>
  <si>
    <t>Forty-five days after a Daenglift trip, a safety investigation related to that trip is still open. Under the data-retention policy, what type of location data from the trip may still be retained even though its normal 30-day retention period has passed?</t>
  </si>
  <si>
    <t>precise GPS route</t>
  </si>
  <si>
    <t>During a NoctiTrace HS-2 recording, a patient notices that the device is flashing amber rapidly. The nasal cannula and finger sensor are still attached, so the patient assumes that the amber light indicates a sensor-contact problem. According to the device status indicators, what exact light pattern actually indicates the condition shown by the device?</t>
  </si>
  <si>
    <t>fast amber</t>
  </si>
  <si>
    <t>A customer needs to deposit damaged banknotes under a policy that grants full value when more than 75% of a banknote remains, half value when more than 50% but no more than 75% remains and the serial number is readable, and no branch value when 50% or less remains. Which bank issued this deposit policy?</t>
  </si>
  <si>
    <t>Kaewsiri Savings Bank</t>
  </si>
  <si>
    <t>When is the next scheduled review?
 A) February 2025
 B) July 2026
 C) September 2026
 D) September 2027</t>
  </si>
  <si>
    <t>Does the TapCast Dawn Alert service send the main alert message to users at 03:15 every day?</t>
  </si>
  <si>
    <t>In aisles B25–B28 of Phrom Daen Fulfilment DC-2, what caused 171 floor markers to become Grade C (unreadable or lifting)?
 A) Solvent was not allowed to dry properly
 B) The epoxy sealer was applied twice
 C) Heavy robot traffic damaged the marker surface
 D) The floor tiles were cleaned with an unapproved chemical
 E) The alignment template was placed incorrectly
 F) High temperatures caused the adhesive to melt</t>
  </si>
  <si>
    <t>Following the Khlong Sakae bridge barge strike incident, can buses on the Route 9 shuttle service weighing 21 tonnes still cross the bridge?</t>
  </si>
  <si>
    <t>Does the Lom Sak Community Legal Aid Centre have a policy of destroying clients' original documents if they remain unclaimed long after a case is closed?</t>
  </si>
  <si>
    <t>Question: What action will be taken regarding the Grade C floor markers found during the inspection in Zone B?
Options:
A. They will remain in place and be checked again during the next monthly inspection.
B. They will all be replaced by 3 October 2026, starting with those in the charging lanes.
C. They will be scraped off, cleaned with an approved solvent, and glued back immediately.
D. They will be replaced only after Zone A is recoated in November 2026.</t>
  </si>
  <si>
    <t>Question: According to the RiverPassbook service rules, if a scheduled Friday trip to the Ban Don Sawan island is cancelled, when will the replacement make-up trip take place?
Options:
A. On the next Saturday at the same times.
B. On the following Monday morning.
C. On the next Tuesday.
D. There is no make-up trip; members must wait until the next scheduled Friday.
E. On Sunday morning before 12:30.</t>
  </si>
  <si>
    <t>Question: Under the new fee rules taking effect on 1 October 2026, how much is the reduced fee for a session if a client is a student or has a monthly household income below 12,000 baht?
Options:
A. 150 baht
B. 200 baht
C. 300 baht
D. 600 baht
E. 700 baht</t>
  </si>
  <si>
    <t>What is the minimum required brining time in hours for a cheese wheel delivered to the cellar with a fresh weight of 35 kg?</t>
  </si>
  <si>
    <t>What is the total delivery fee in baht for a single claim containing 3 recovered items to be shipped via courier within Thailand?</t>
  </si>
  <si>
    <t>How many total individuals (member accounts and day-pass guests combined) were overcharged during the PageLedger print incident?</t>
  </si>
  <si>
    <t>Who is the Head of Living Collections that issues and signs every apiary placement permit for the Blackford Physic Garden Trust?</t>
  </si>
  <si>
    <t>Morag Lennie</t>
  </si>
  <si>
    <t>What is the name of the long-tail boat used by the Tha Uthen Riverbank Savings Cooperative for the RiverPassbook service?</t>
  </si>
  <si>
    <t>Nam Oom 2</t>
  </si>
  <si>
    <t>Who is the Subscriber Care Manager responsible for making the final decision on Rain Guarantee credit appeals?</t>
  </si>
  <si>
    <t>Ms Ratchanee Phothisan</t>
  </si>
  <si>
    <t>Did the standby diesel generator (GEN-02) start correctly?</t>
  </si>
  <si>
    <t>Could the three young animals regulate their body temperature normally?</t>
  </si>
  <si>
    <t>Can dogs and cats drink water freely until 06:30 on the morning of surgery?</t>
  </si>
  <si>
    <t>When will the final results be announced?
A. 1 December 2026
B. 4 December 2026
C. 10 December 2026
D. 11 December 2026
E. 15 December 2026
F. 1 January 2027</t>
  </si>
  <si>
    <t>What percentage of Phase 1 training days must fellows attend?
A. At least 70%
B. At least 75%
C. At least 80%
D. At least 85%
E. At least 90%
F. 100%</t>
  </si>
  <si>
    <t>What is the serial number of the tunnel?
A. TL6-0317
B. TL6-0417
C. TL6-0517
D. TL5-0417
E. TL6-0427
F. TL7-0417</t>
  </si>
  <si>
    <t>What wind speed in km/h triggers a Rain Pause?</t>
  </si>
  <si>
    <t>What is Casca Viva?
 A) A synthetic dye service for large-scale textile manufacturers
 B) A line of piece-dyed natural shades obtained from spent black wattle bark for small fashion labels (Correct Answer)
 C) A leather tanning extract produced directly by Extratos Vale do Caí Ltda.
 D) A biological wastewater treatment process used in Porto Alegre
 E) A brand of organic T-shirts and school uniforms made of cotton knit
 F) A new type of reactive-dye chemical requiring high salt consumption</t>
  </si>
  <si>
    <t>How many active PXT-12 transponders ?</t>
  </si>
  <si>
    <t>How many passes are required for the CT-04 L6 retest at least?</t>
  </si>
  <si>
    <t>Which category is for supported asset on the wrong network?</t>
  </si>
  <si>
    <t>Category B</t>
  </si>
  <si>
    <t>who is head of visitor services, chair?</t>
  </si>
  <si>
    <t>Sutthida Lertkhamrong</t>
  </si>
  <si>
    <t>Which type of polling station staff receives an allowance of 900 baht for serving on polling day?</t>
  </si>
  <si>
    <t>member</t>
  </si>
  <si>
    <t>Will I receive the TapCast Dawn Alert main message at 2:30 every morning?</t>
  </si>
  <si>
    <t>What is the standard daily fee per elder at Ban Ruen Kham Care Home in 2026?
 [A] 40 baht [B] 90 baht [C] 100 baht [D] 120 baht [E] 150 baht</t>
  </si>
  <si>
    <t>are there 4 alert code in tapcast dawn alert?</t>
  </si>
  <si>
    <t>On what date was the Khlong Sakae Bridge Barge Strike Inspection document issued?
[A] 18 September 2026
[B] 14 September 2026
[C] 17 September 2026</t>
  </si>
  <si>
    <t>When do the new regulations regarding the retention of original customer documents come into effect?
[A] 1 October 2026
[B] 1 October 2027
[C] 1 October 2226</t>
  </si>
  <si>
    <t>How many ground-based location markers in total are being inspected in Zone B (lanes B01–B28)?</t>
  </si>
  <si>
    <t>For how many hours must the cheese be soaked in brine and air-dried before delivery?</t>
  </si>
  <si>
    <t>What is provided free of charge to fellows only during Phase 1 of the Young Cheesemaker Fellowship? : [A] A brand new scooter , [B] Accommodation in the farm dormitory and three meals a day , [C] Unlimited cheese tasting passes , [D] Free dairy cows</t>
  </si>
  <si>
    <t>By what date must the form be submitted to be included in the list for the first round of travel?</t>
  </si>
  <si>
    <t>23 October 2026</t>
  </si>
  <si>
    <t>Which company prepared the Lost Property Notice?</t>
  </si>
  <si>
    <t>Fah Lanna Stageworks Co., Ltd.</t>
  </si>
  <si>
    <t>Does FixedPort cost $99 per month?</t>
  </si>
  <si>
    <t>Does the animal-use deposit cost $5,000 per production?</t>
  </si>
  <si>
    <t>Would 400 people be enough to fill the available seats in Sea Breeze Hall for the finals?</t>
  </si>
  <si>
    <t>What should divers do if they find a starfish in the coral nursery at Mae Haad? 
[A] Remove the starfish from the nursery
[B] Take the starfish to another location
[C] Report it and leave it in place
[D] Feed the starfish
[E] Photograph it and take it away
[F] Ignore the starfish</t>
  </si>
  <si>
    <t>What is telephone extension 3307 for?
[A] Survey Control Desk
[B] Reception Desk
[C] Security Office
[D] Finance Department
[E] Human Resources Office
[F] Technical Support Desk</t>
  </si>
  <si>
    <t>What is telephone number 2000 used for?
[A] Reporting an injured or distressed animal outside office hours
[B] Contacting the reception desk during office hours
[C] Reporting a maintenance problem
[D] Contacting the security office
[E] Making a general appointment
[F] Contacting the finance department</t>
  </si>
  <si>
    <t>How much would it cost to subscribe to FixedPort for one year?</t>
  </si>
  <si>
    <t>If 200 seats at Sea Breeze Hall are reserved online for the finals, how many seats would remain available for walk-in attendees?</t>
  </si>
  <si>
    <t>What is the approximate daily cost of a FixedPort subscription based on the monthly fee?</t>
  </si>
  <si>
    <t>From commercial terms : 6% of monthly gross sales above is what amount of number
 A) 5,000 baht
 B) 8,200 baht
 C) 9,500 baht
 D) 120,000 baht</t>
  </si>
  <si>
    <t>In which month will Saeng Arun Primary School join the swimming and water-safety program at the Bueng Phra Aquatic Centre?</t>
  </si>
  <si>
    <t>November 2026</t>
  </si>
  <si>
    <t>What should divers at Mae Haad do if they find a starfish in the coral nursery?</t>
  </si>
  <si>
    <t>Report it and leave it in place.</t>
  </si>
  <si>
    <t>During what phases will the reading room be closed?</t>
  </si>
  <si>
    <t>Phases 1 and 2 of the relocation.</t>
  </si>
  <si>
    <t>The village headman is not required to sign the Handover Record.</t>
  </si>
  <si>
    <t>094</t>
  </si>
  <si>
    <t>The award is announced by 20 November 2026 at 23:59.</t>
  </si>
  <si>
    <t>According to the Hillward Counselling Service meeting minutes, starting from 5 November 2026, on which day of the week will the Field Room van visit Chiang Klang district?
 A) Every Tuesday
 B) Every Wednesday
 C) Every Thursday
 D) First and third Friday of each month
 E) Second and fourth Saturday of each month
 F) First Sunday of each month</t>
  </si>
  <si>
    <t>What is the boiler efficiency calculated in the nominal load test on 14 October?   
[A] 874 / 1000 [B] 874 / 100 [C] 87.4 * 10^-1 [D] 806 / 1000 [E] 832 / 100</t>
  </si>
  <si>
    <t>054</t>
  </si>
  <si>
    <t>Which of the following lists all six filming dates in October 2026 correctly sorted in ascending order?   
[A] 14, 12, 19, 13, 21, 20 
[B] 12, 13, 14, 19, 20, 21 
[C] 12, 14, 13, 20, 19, 21 [D] 13, 12, 14, 19, 21, 20 [E] 19, 20, 21, 12, 13, 14</t>
  </si>
  <si>
    <t>074</t>
  </si>
  <si>
    <t>How many programmes do not allow deferral?</t>
  </si>
  <si>
    <t>004</t>
  </si>
  <si>
    <t>What is the total cost per boat for one year under the standard rate after the adjustment?"</t>
  </si>
  <si>
    <t>024</t>
  </si>
  <si>
    <t>Every six months, which department performs electrical safety testing and door seal integrity checks?</t>
  </si>
  <si>
    <t>Clinical Engineering</t>
  </si>
  <si>
    <t>034</t>
  </si>
  <si>
    <t>Who is the KlaPhrom service coordinator stationed at the service desk of the Nong Kula Rice Farmers Cooperative office?</t>
  </si>
  <si>
    <t>Wanida Chuenjai</t>
  </si>
  <si>
    <t>084</t>
  </si>
  <si>
    <t>The AI that could calculate your age using only your face images is called Classification AI?</t>
  </si>
  <si>
    <t>In supervised learning, the trainer must prepare correct inputs and outputs for training this model.</t>
  </si>
  <si>
    <t>These are the descriptions about LLM ,except?
A.Large scale of model parameters
B.Large scale of training data
C.Require massive computing resources (GPU/TPU)
during training
D.Single model handles diverse tasks via prompts
E.Extremely long context windows
F.Cannot generate or understand natural language</t>
  </si>
  <si>
    <t>What is the main purpose of positional encoding in a Transformer?
A. To convert one-hot vectors into word vectors
B. To provide information about the position of tokens in a sequence
C. To calculate the matching scores between queries and keys
D. To generate the final output probabilities</t>
  </si>
  <si>
    <t>In an attention mechanism, suppose the alignment scores for three encoder hidden states are:
Score₁ = 1
Score₂ = 2
Score₃ = 0
Using the softmax formula for the alignment weight, what is the approximate value of a₂?</t>
  </si>
  <si>
    <t>Suppose an RNN uses the following equation:
h_t = tanh(A^T x_t + B^T h_{t-1})
Given:
A^T = [1], B^T = [0.5]
x_t = [2], h_{t-1} = [1]
What is the approximate value of h_t?</t>
  </si>
  <si>
    <t>What is the main purpose of the reset gate in a GRU?</t>
  </si>
  <si>
    <t>To select which information from the previous hidden state should be used.</t>
  </si>
  <si>
    <t>What is the main purpose of the update gate in a GRU?</t>
  </si>
  <si>
    <t>To decide which information in the memory should be updated.</t>
  </si>
  <si>
    <t>Can diabetic pets follow the standard fasting times before surgery?</t>
  </si>
  <si>
    <t>013</t>
  </si>
  <si>
    <t>Did any animals die during the storm power failure on the night of 14-15 August 2026?</t>
  </si>
  <si>
    <t>003</t>
  </si>
  <si>
    <t>Are fellows allowed to keep all the income from the cheese they sell during Phases 2 and 3?</t>
  </si>
  <si>
    <t>023</t>
  </si>
  <si>
    <t>What is the reduced top speed of a scooter when a Rain Pause begins?
A) 10 km/h
B) 12 km/h
C) 15 km/h
D) 20 km/h</t>
  </si>
  <si>
    <t>043</t>
  </si>
  <si>
    <t>Which site acceptance test (SAT) failed and is tracked as punch item P-02?
A) SAT-01 (Throughput)
B) SAT-02 (Residual sugar)
C) SAT-07 (Emergency stop)
D) SAT-09 (Water consumption)</t>
  </si>
  <si>
    <t>033</t>
  </si>
  <si>
    <t>What are the operating hours for the walk-in pre-operative clinics?
A) Monday and Wednesday, 08:00 to 12:00
B) Tuesday and Thursday, 13:00 to 16:00
C) Friday, 15:00 to 18:00
D) Saturday and Sunday, 09:00 to 17:00</t>
  </si>
  <si>
    <t>How many places are available in the 2027 cohort of the Huai Bong Young Cheesemaker Fellowship?</t>
  </si>
  <si>
    <t>How many forest tortoise eggs were in the three incubators in Room E4 during the power outage?</t>
  </si>
  <si>
    <t>At what minimum battery percentage should you report a low battery during a Rain Pause to avoid the out-of-zone parking fee?</t>
  </si>
  <si>
    <t>Who approved the new fasting and admission rules for planned surgery?</t>
  </si>
  <si>
    <t>Dr. Nattaya Wongsila</t>
  </si>
  <si>
    <t>What color does the map turn in the affected area when a Rain Pause is started?</t>
  </si>
  <si>
    <t>Grey</t>
  </si>
  <si>
    <t>Which part of the rescue centre houses the Mammal Nursery and the Reptile Incubation Room?</t>
  </si>
  <si>
    <t>The East Wing</t>
  </si>
  <si>
    <t>Is it true that 6 animals died during the storm power failure at Huai Mae Kham Wildlife Rescue Centre?</t>
  </si>
  <si>
    <t>Is camping free of charge for adult visitors who bring their own tent to Pha Mok Ngoen campground in Doi Kham Sai National Park during the 2026–27 cool season?</t>
  </si>
  <si>
    <t>073</t>
  </si>
  <si>
    <t>Did the monthly stipend of the Huai Bong Young Cheesemaker Fellowship increase by 2,000 baht for the 2027 cohort?</t>
  </si>
  <si>
    <t>From what date do the new admission rules for planned surgery at Sam Phrao Veterinary Hospital apply? [A] 5 October 2026 [B] 5 October 2016 [C] 5 May 2026 [D] 14 September 2026</t>
  </si>
  <si>
    <t>How much did it cost to replace the corroded relay at Huai Mae Kham Wildlife Rescue Centre? [A] 8,400 baht [B] 8,400 US dollars [C] 840 baht [D] 36,000 baht</t>
  </si>
  <si>
    <t>How long is the beach in front of Sai Kaew Thong Beach Resort? [A] 1,800 metres [B] 1.8 metres [C] 18 metres [D] 18 kilometres</t>
  </si>
  <si>
    <t>093</t>
  </si>
  <si>
    <t>How much is the surgery deposit, in baht, for a planned surgery booking at Sam Phrao Veterinary Hospital?</t>
  </si>
  <si>
    <t>How many acceptance tests of the LavaFût TL-6 drum wash tunnel passed during the site acceptance test?</t>
  </si>
  <si>
    <t>At Doi Kham Sai National Park, what processing fee, in baht, is charged per booking when an online camping booking is cancelled 3 days or more before the arrival date?</t>
  </si>
  <si>
    <t>In the Ward 3 by-election of Khlong Phai Ngam Town Municipality, which candidate received the second-highest number of votes?</t>
  </si>
  <si>
    <t>Ladda Chaiwong</t>
  </si>
  <si>
    <t>083</t>
  </si>
  <si>
    <t>According to the Plaewlom Rain Pause FAQ, which team should riders call if they see a Plaew scooter lying in floodwater?</t>
  </si>
  <si>
    <t>Rider Care</t>
  </si>
  <si>
    <t xml:space="preserve"> Who is the Guest Experience Manager of Sai Kaew Thong Beach Resort?</t>
  </si>
  <si>
    <t>Pimchanok Saelim</t>
  </si>
  <si>
    <t>Can members who haven't paid the dues not book the shared sample roast room?</t>
  </si>
  <si>
    <t>Does the Phuengmart Preferred Seller tiers lose that tier on transfer?</t>
  </si>
  <si>
    <t>067</t>
  </si>
  <si>
    <t>Does VeilGrind accept hazardous waste?</t>
  </si>
  <si>
    <t>Which devices are not covered by Dwello? [A] The Dwello Home Hub H3 [B] Iphone 14 pro max [C] the Dwello Lock D7 door lock [D] The older Home Hub H2 [E] Dwello Aircare wall thermostats</t>
  </si>
  <si>
    <t>Which one is a  roles at the examination center? [A] Call Center [B] Script Custodian [C] Gamer [D] Doctor</t>
  </si>
  <si>
    <t>On which day will the VeilGrind Witnessed Destruction Service take place? [A] Sunday [B] Monday [C] Tuesday [D] Wednerday [E] Friday</t>
  </si>
  <si>
    <t>What is the total number of native seedlings planted under the Khok Pa Rang enrichment planting?</t>
  </si>
  <si>
    <t>On Phueng Mart Marketplace, how many days must a shop have been open before the owner can be transferred?</t>
  </si>
  <si>
    <t>How many boxes of the Phayuha Khiri land deed collection were moved upstairs in a hurry?</t>
  </si>
  <si>
    <t>Who led the survey for the Khok Pa Rang Enrichment Planting 2025?</t>
  </si>
  <si>
    <t>Anchalee Boonrueang</t>
  </si>
  <si>
    <t>If candidate is absent , what should be marked on the attendance sheet?</t>
  </si>
  <si>
    <t>ABS</t>
  </si>
  <si>
    <t>What will the removed nozzles be shredded and recycled as?</t>
  </si>
  <si>
    <t>Rubber matting</t>
  </si>
  <si>
    <t>Does the Ban Huai Kang collection point accept leaves on Sundays?</t>
  </si>
  <si>
    <t>If a truck driver doesn’t wear a seat belt, are they personally responsible for paying the fine?</t>
  </si>
  <si>
    <t>Which class isn’t defined as a usable window in November 2025? [A] Class D [B] Class O [C] Class C [D] Class W [E] Class L</t>
  </si>
  <si>
    <t>Which boat in the choices is the oldest boat? [A] Heron [B] Kingfisher II [C] Bellweather</t>
  </si>
  <si>
    <t>What is the monthly maintenance fee in baht per square wah for Banyan Ridge Village Phase 2 as of August 2026?</t>
  </si>
  <si>
    <t>As specified in the 2027 Apiary Placement Permit Guide, what is the minimum age required to apply for a permit?</t>
  </si>
  <si>
    <t>What is the base price in baht per kg for Grade A leaves as of September 29, 2026?</t>
  </si>
  <si>
    <t>Who pays fine for truck’s expired inspection certificate?</t>
  </si>
  <si>
    <t>Company</t>
  </si>
  <si>
    <t>What class is the boat made of mahogany?</t>
  </si>
  <si>
    <t>2x</t>
  </si>
  <si>
    <t>Did the committee agree to move the handover to 1 December 2026?</t>
  </si>
  <si>
    <t>Is the warranty for fittings (doors, taps, wiring) valid for 5 years from the transfer date?</t>
  </si>
  <si>
    <t>Starting with the November 2026 payroll, does the monthly payroll lock in PayDesk move to the 20th of each month at 17:00?</t>
  </si>
  <si>
    <t>What was the median amount of the duplicated payments? [A] 50 baht [B] 3,500 baht [C] 5,000 baht [D] 186,000 baht [E] 4.1 million baht [F] 41.7</t>
  </si>
  <si>
    <t>Who is the Head of Customer Care that chairs the Customer Care Review Panel? [A] Sirinya Phromwong [B] Natthawut Kaewprasert [C] Wasan Thepsuriya [D] The Chief Information Officer [E] The Digital Operations Manager [F] The duty supervisor</t>
  </si>
  <si>
    <t>What is the agreed current speed threshold for Class O (observation-class ROV, inspection only)? [A] 0.20 m/s [B] 0.30 m/s [C] 0.50 m/s [D] 0.75 m/s [E] 1.00 m/s [F] 1.50 m/s</t>
  </si>
  <si>
    <t>How many calendar days does a v2 extension last at maximum after the final sunset?</t>
  </si>
  <si>
    <t>What is the normal on-call allowance in baht per day for engineers?</t>
  </si>
  <si>
    <t>If a leaf sample fails the residue testing, for how many days is the farmer's Leaf Partner number suspended?</t>
  </si>
  <si>
    <t>Which company is the fund manager of Banyen Ceramics Employees' Provident Fund?</t>
  </si>
  <si>
    <t>Who is the chair of the Fund Committee?</t>
  </si>
  <si>
    <t>Orathai Wongkhiaw</t>
  </si>
  <si>
    <t>What form must a leaver return to tell the Fund what to do with their balance?</t>
  </si>
  <si>
    <t>Form BC-PF5</t>
  </si>
  <si>
    <t>Are applicants who wish to defer their enrollment required to write a personal statement of no more than 500 words?</t>
  </si>
  <si>
    <t>Are employees at Wiangthong Securities PCL entitled to 20 days of annual leave?</t>
  </si>
  <si>
    <t>014</t>
  </si>
  <si>
    <t>What is the monthly fee, including VAT, for the TideLine Fleet Plan outside the trial period?
A.179
B.189
C.199
D.209
E.219
F.229</t>
  </si>
  <si>
    <t>What is the standard oxygen concentration range (%) specified in the operating limits for the oxygen therapy kennel (AeroNest OK-90) for sick animals?
A.40-60%
B.25-40%
C.30-45%
D.40-55%
E.25-55%
F.35-50%</t>
  </si>
  <si>
    <t>What is the basic monthly fee for the operator selected to run the coffee shop?</t>
  </si>
  <si>
    <t>What is the rated power of the Lumbre HB-320 Olive-Stone in kW?</t>
  </si>
  <si>
    <t>Which application can we use to sign up for the Rice Bowl Club?</t>
  </si>
  <si>
    <t>Phone Baan app</t>
  </si>
  <si>
    <t>064</t>
  </si>
  <si>
    <t>Where will the night scenes for The Lantern Ferry be filmed?</t>
  </si>
  <si>
    <t>Along the Ping River in the Wat Kaet area.</t>
  </si>
  <si>
    <t>Is ChillCrate Loan service open to any private individuals?</t>
  </si>
  <si>
    <t>Is Lamyai Court allowed staff to park or charge on balconies?</t>
  </si>
  <si>
    <t>Is Lamyai Court allowed to charge batteries above 500Wh in any Room?</t>
  </si>
  <si>
    <t>Which day does the Lampang Wang Riverside City Marathon 2026 take place? 
A) 13 Dec 2026 
B) 27 Nov 2026
C) 16 Dec 2026
D) 18 Jan 2026
E) 5 Feb 2026
F) 9 Jan 2026</t>
  </si>
  <si>
    <t>04</t>
  </si>
  <si>
    <t>Latest announcement: What time does the full marathon of the Lampang Wang Riverside City Marathon 2026 start?
A) 04:00 
B) 05:00
C) 03:30
D) 01:30
E) 06:30
F) 5:30</t>
  </si>
  <si>
    <t>How many customer accounts were affected by Incident INC-2609-031?
A) 335
B) 512
C) 798
D) 418
E) 738
F) 131</t>
  </si>
  <si>
    <t>What is the volume of the open fermentation hall F1 at the Doudlevce site (in m^3 unit)?</t>
  </si>
  <si>
    <t>According to example 3, What is the estimated daily heating cost (in EUR) for the pond during the coldest week?</t>
  </si>
  <si>
    <t>What is the minimum age required as of January 11, 2027, to apply for the Deck-to-Dock Refrigeration Evening Certificate training program</t>
  </si>
  <si>
    <t>What is the full name of "the Company" that manages the 48 MW ground-mounted solar plant in Sung Noen District?</t>
  </si>
  <si>
    <t>Khao Sawang Solar Power Co., Ltd.</t>
  </si>
  <si>
    <t>What froms are required by HR when applying to the Fab Emergency Response Team?</t>
  </si>
  <si>
    <t>EHS-F31</t>
  </si>
  <si>
    <t>What is the cutoff time for the last fruit truck to be accepted at the weighbridge?</t>
  </si>
  <si>
    <t>19:30</t>
  </si>
  <si>
    <t>Does the Daenglift app offer booking services for shared red truck rides in Chiang Mai?</t>
  </si>
  <si>
    <t>Can Warfarin and other medications requiring a blood test be collected from the PillPost medicine locker?</t>
  </si>
  <si>
    <t>Where is Kaewsiri Savings Bank located? 
A. Khon Kaen 
B. Udon Thani 
C. Nakhon Ratchasima 
D. Kalasin</t>
  </si>
  <si>
    <t xml:space="preserve">When returning the NoctiTrace HS-2 kit, how much is deducted from the deposit if the finger oxygen sensor is lost?
A) 130 baht 
B) 2000 baht 
C) 1800 baht 
D) 1500 baht
</t>
  </si>
  <si>
    <t>What is the total number of riders and driver partners on the Daenglift app?</t>
  </si>
  <si>
    <t>What is the mileage (kilometers) warranty for parts supplied by Torquewell Auto Service?</t>
  </si>
  <si>
    <t>At what time does OvenLink (a CafeReady partner company) close its shipping cutoff every two business days?</t>
  </si>
  <si>
    <t>14:00</t>
  </si>
  <si>
    <t>What is the name of the chatbot for Jomtien Crest Residences Management Co., Ltd.?</t>
  </si>
  <si>
    <t xml:space="preserve">  Nong Lom Chatbot</t>
  </si>
  <si>
    <t>Is there more than one chief invigilator per exam room?</t>
  </si>
  <si>
    <t>If we signed our contract on 5 October 2026, is the destruction fee for Category A 3.40 baht per kg?</t>
  </si>
  <si>
    <t>If I want to see the Roast Log, I should contact Anucha Saiyalak</t>
  </si>
  <si>
    <t>According to the guide, what must the Chief Invigilator and the second invigilator do immediately after sealing the grey tamper-evident parcel bag?
A. Write the centre number on the bag and deposit it directly into the steel cabinet
B. Sign across the seal label with a blue ballpoint pen and write the session code
C. Enclose all unused blank scripts and question papers inside the bag
D. Call the Regional Collection Officer to report the bag's printed serial number
E. Affix a red tamper-evident sticker and initial it with a black permanent marker
F. Hand the unsealed bag to the Script Custodian to verify the attendance sheet count</t>
  </si>
  <si>
    <t>During the relocation of Station SK-05, which station and trigger threshold are used for the Hat Yai district haze alert?
A. SK-05T (Ban Phru Health Promoting Hospital) – 37.5 μg/m³ PM2.5 (24-hour mean)
B. SK-02 (Kho Hong) – 50 μg/m³ PM2.5 (24-hour mean)
C. SK-05 (Ban Phru Municipal School) – 75 μg/m³ PM2.5 (1-hour mean)
D. SK-01 (Hat Yai Central) – 50 μg/m³ PM2.5 (24-hour mean)
E. SK-02 (Kho Hong) – 37.5 μg/m³ PM2.5 (8-hour mean)
F. SK-05T (Ban Phru Car Park) – 16.7 μg/m³ PM2.5 (24-hour mean)</t>
  </si>
  <si>
    <t>According to the document, what happens to a user's Dwello Eye camera recordings after they hand over or reset their home?
A. They are transferred automatically to the new owner’s account along with device automations
B. They are stored in the user’s account for 14 days for downloading before permanent deletion 
C. They are erased immediately at 12:00 noon on the day the Handover Pass code is entered
D. They are backed up to the physical memory of the Home Hub H3 for 30 days
E. They are retained for 90 days in cloud storage provided the user has a Dwello Care Plus plan
F. They can be recovered within 60 days upon paying an administration fee of 200 baht</t>
  </si>
  <si>
    <t>In Plot B (Stream Bank), how many seedlings were recorded as killed by the stream overflow between 19 and 24 August 2026?</t>
  </si>
  <si>
    <t>Under the resolution of 22 March 2026, what is the minimum first-year survival percentage threshold below which a plot must be replanted in the next rainy season?</t>
  </si>
  <si>
    <t>Out of the 48 total nozzles on the offshore brine diffuser, how many are scheduled to be replaced during the Peron Point Diffuser Renewal Project?</t>
  </si>
  <si>
    <t>Which team is responsible for checking the new owner's documents and matching them to their payout bank account?</t>
  </si>
  <si>
    <t>Seller Verification Team</t>
  </si>
  <si>
    <t>Who serves as the Regional Collection Officer for the Northeast region at the Khon Kaen office?</t>
  </si>
  <si>
    <t>Mr. Somkiat Laohaphan</t>
  </si>
  <si>
    <t>What is the full name of the person who signs the Certificate of Destruction?</t>
  </si>
  <si>
    <t>In this document has alphabet 'Q' at least one</t>
  </si>
  <si>
    <t>Is maximum base salary is 50000</t>
  </si>
  <si>
    <t>The filming is set for one night</t>
  </si>
  <si>
    <t>Standard English requirements is
A TOEIC 100
B TOEIC 200
C TOEIC 350
D TOEIC 550
E TOEIC 750
F TOEIC 1050</t>
  </si>
  <si>
    <t>Which year in this document described about dry season 
A 1027
B 2027
C 7077
D 2026
E 2028
D 7777</t>
  </si>
  <si>
    <t xml:space="preserve">How many step to build project </t>
  </si>
  <si>
    <t xml:space="preserve">How many equations in this document </t>
  </si>
  <si>
    <t xml:space="preserve">Where is the first place in the first paragraph that it refers </t>
  </si>
  <si>
    <t>Songkhla</t>
  </si>
  <si>
    <t xml:space="preserve">What is id line to contact </t>
  </si>
  <si>
    <t>@phuenbaan</t>
  </si>
  <si>
    <t>a member can convert at most how many paper cards</t>
  </si>
  <si>
    <t>The boiler is a Lumbre HB-320, nominal output 320
 kW, serial number is what number?</t>
  </si>
  <si>
    <t>########</t>
  </si>
  <si>
    <t>sea turtles</t>
  </si>
  <si>
    <t>What temperature should be used to bake butter croissants and pain au chocolat in a convection oven?
 Choices: A. 160°C B. 165°C C. 175°C D. 180°C E. 26–28°C F. 30°C</t>
  </si>
  <si>
    <t>Question: What action will be taken regarding the Grade C floor markers found during the inspection in Zone B?
 Options:
 A. They will remain in place and be checked again during the next monthly inspection.
 B. They will all be replaced by 3 October 2026, starting with those in the charging lanes.
 C. They will be scraped off, cleaned with an approved solvent, and glued back immediately.
 D. They will be replaced only after Zone A is recoated in November 2026.</t>
  </si>
  <si>
    <t>When will the final results be announced?
 A. 1 December 2026
 B. 4 December 2026
 C. 10 December 2026
 D. 11 December 2026
 E. 15 December 2026
 F. 1 January 2027</t>
  </si>
  <si>
    <t>On what date was the Khlong Sakae Bridge Barge Strike Inspection document issued?
 [A] 18 September 2026
 [B] 14 September 2026
 [C] 17 September 2026</t>
  </si>
  <si>
    <t>What should divers do if they find a starfish in the coral nursery at Mae Haad? 
 [A] Remove the starfish from the nursery
 [B] Take the starfish to another location
 [C] Report it and leave it in place
 [D] Feed the starfish
 [E] Photograph it and take it away
 [F] Ignore the starfish</t>
  </si>
  <si>
    <t>What is the boiler efficiency calculated in the nominal load test on 14 October? 
 [A] 874 / 1000 [B] 874 / 100 [C] 87.4 * 10^-1 [D] 806 / 1000 [E] 832 / 100</t>
  </si>
  <si>
    <t>These are the descriptions about LLM ,except?
 A.Large scale of model parameters
 B.Large scale of training data
 C.Require massive computing resources (GPU/TPU)
 during training
 D.Single model handles diverse tasks via prompts
 E.Extremely long context windows
 F.Cannot generate or understand natural language</t>
  </si>
  <si>
    <t>What is the reduced top speed of a scooter when a Rain Pause begins?
 A) 10 km/h
 B) 12 km/h
 C) 15 km/h
 D) 20 km/h</t>
  </si>
  <si>
    <t>What is the monthly fee, including VAT, for the TideLine Fleet Plan outside the trial period?
 A.179
 B.189
 C.199
 D.209
 E.219
 F.229</t>
  </si>
  <si>
    <t>Which day does the Lampang Wang Riverside City Marathon 2026 take place? 
 A) 13 Dec 2026 
 B) 27 Nov 2026
 C) 16 Dec 2026
 D) 18 Jan 2026
 E) 5 Feb 2026
 F) 9 Jan 2026</t>
  </si>
  <si>
    <t>Where is Kaewsiri Savings Bank located? 
 A. Khon Kaen 
 B. Udon Thani 
 C. Nakhon Ratchasima 
 D. Kalasin</t>
  </si>
  <si>
    <t>According to the guide, what must the Chief Invigilator and the second invigilator do immediately after sealing the grey tamper-evident parcel bag?
 A. Write the centre number on the bag and deposit it directly into the steel cabinet
 B. Sign across the seal label with a blue ballpoint pen and write the session code
 C. Enclose all unused blank scripts and question papers inside the bag
 D. Call the Regional Collection Officer to report the bag's printed serial number
 E. Affix a red tamper-evident sticker and initial it with a black permanent marker
 F. Hand the unsealed bag to the Script Custodian to verify the attendance sheet count</t>
  </si>
  <si>
    <t>Standard English requirements is
 A TOEIC 100
 B TOEIC 200
 C TOEIC 350
 D TOEIC 550
 E TOEIC 750
 F TOEIC 1050</t>
  </si>
  <si>
    <t>A 52-year-old patient uses CPAP at home and also has a pacemaker. The patient's physician has specifically written “home test on therapy.” According to the NoctiTrace HS-2 policy, which statement correctly describes whether the patient can use the home sleep test?
 A. The patient cannot use the test because all CPAP users are excluded without exception. B. The patient cannot use the test because having a pacemaker is an exclusion criterion. C. The patient can use the test because the physician has authorized home testing on therapy, and having a pacemaker is allowed. D. The patient can use the test only if CPAP is stopped during both test nights. E. The patient cannot use the test because both CPAP use and a pacemaker independently disqualify the patient. F. The patient can use the test only if the physician removes the pacemaker restriction.</t>
  </si>
  <si>
    <t>Question: According to the RiverPassbook service rules, if a scheduled Friday trip to the Ban Don Sawan island is cancelled, when will the replacement make-up trip take place?
 Options:
 A. On the next Saturday at the same times.
 B. On the following Monday morning.
 C. On the next Tuesday.
 D. There is no make-up trip; members must wait until the next scheduled Friday.
 E. On Sunday morning before 12:30.</t>
  </si>
  <si>
    <t>What percentage of Phase 1 training days must fellows attend?
 A. At least 70%
 B. At least 75%
 C. At least 80%
 D. At least 85%
 E. At least 90%
 F. 100%</t>
  </si>
  <si>
    <t>When do the new regulations regarding the retention of original customer documents come into effect?
 [A] 1 October 2026
 [B] 1 October 2027
 [C] 1 October 2226</t>
  </si>
  <si>
    <t>What is telephone extension 3307 for?
 [A] Survey Control Desk
 [B] Reception Desk
 [C] Security Office
 [D] Finance Department
 [E] Human Resources Office
 [F] Technical Support Desk</t>
  </si>
  <si>
    <t>Which of the following lists all six filming dates in October 2026 correctly sorted in ascending order? 
 [A] 14, 12, 19, 13, 21, 20 
 [B] 12, 13, 14, 19, 20, 21 
 [C] 12, 14, 13, 20, 19, 21 [D] 13, 12, 14, 19, 21, 20 [E] 19, 20, 21, 12, 13, 14</t>
  </si>
  <si>
    <t>What is the main purpose of positional encoding in a Transformer?
 A. To convert one-hot vectors into word vectors
 B. To provide information about the position of tokens in a sequence
 C. To calculate the matching scores between queries and keys
 D. To generate the final output probabilities</t>
  </si>
  <si>
    <t>Which site acceptance test (SAT) failed and is tracked as punch item P-02?
 A) SAT-01 (Throughput)
 B) SAT-02 (Residual sugar)
 C) SAT-07 (Emergency stop)
 D) SAT-09 (Water consumption)</t>
  </si>
  <si>
    <t>Which one is a roles at the examination center? [A] Call Center [B] Script Custodian [C] Gamer [D] Doctor</t>
  </si>
  <si>
    <t>What is the standard oxygen concentration range (%) specified in the operating limits for the oxygen therapy kennel (AeroNest OK-90) for sick animals?
 A.40-60%
 B.25-40%
 C.30-45%
 D.40-55%
 E.25-55%
 F.35-50%</t>
  </si>
  <si>
    <t>Latest announcement: What time does the full marathon of the Lampang Wang Riverside City Marathon 2026 start?
 A) 04:00 
 B) 05:00
 C) 03:30
 D) 01:30
 E) 06:30
 F) 5:30</t>
  </si>
  <si>
    <t>When returning the NoctiTrace HS-2 kit, how much is deducted from the deposit if the finger oxygen sensor is lost?
 A) 130 baht 
 B) 2000 baht 
 C) 1800 baht 
 D) 1500 baht</t>
  </si>
  <si>
    <t>During the relocation of Station SK-05, which station and trigger threshold are used for the Hat Yai district haze alert?
 A. SK-05T (Ban Phru Health Promoting Hospital) – 37.5 μg/m³ PM2.5 (24-hour mean)
 B. SK-02 (Kho Hong) – 50 μg/m³ PM2.5 (24-hour mean)
 C. SK-05 (Ban Phru Municipal School) – 75 μg/m³ PM2.5 (1-hour mean)
 D. SK-01 (Hat Yai Central) – 50 μg/m³ PM2.5 (24-hour mean)
 E. SK-02 (Kho Hong) – 37.5 μg/m³ PM2.5 (8-hour mean)
 F. SK-05T (Ban Phru Car Park) – 16.7 μg/m³ PM2.5 (24-hour mean)</t>
  </si>
  <si>
    <t>Which year in this document described about dry season 
 A 1027
 B 2027
 C 7077
 D 2026
 E 2028
 D 7777</t>
  </si>
  <si>
    <t>An 11-year-old Junior Saver customer wants to deposit 3,999 loose coins with a total value of 3,999 baht. According to Kaewsiri Savings Bank's policy, which statement correctly describes the requirements and fee for this deposit?
 A. The deposit is free because all loose-coin deposits made by Junior Saver customers are exempt from fees. B. The deposit is free because the total value is below 5,000 baht, but one business day's advance notice is required. C. The normal 2% fee applies to the entire loose-coin deposit, and because there are more than 2,000 coins, at least one business day's advance notice is required and the deposit must be made at a coin-sorting branch. D. The 2% fee applies only to the 999 baht exceeding the Junior Saver free limit, with no advance notice required. E. The normal 2% fee applies to the entire deposit, but no advance notice is required because the customer is under 15. F. The deposit cannot be accepted because Junior Saver customers may not deposit more than 3,000 loose coins per visit.</t>
  </si>
  <si>
    <t>Question: Under the new fee rules taking effect on 1 October 2026, how much is the reduced fee for a session if a client is a student or has a monthly household income below 12,000 baht?
 Options:
 A. 150 baht
 B. 200 baht
 C. 300 baht
 D. 600 baht
 E. 700 baht</t>
  </si>
  <si>
    <t>What is the serial number of the tunnel?
 A. TL6-0317
 B. TL6-0417
 C. TL6-0517
 D. TL5-0417
 E. TL6-0427
 F. TL7-0417</t>
  </si>
  <si>
    <t>What is telephone number 2000 used for?
 [A] Reporting an injured or distressed animal outside office hours
 [B] Contacting the reception desk during office hours
 [C] Reporting a maintenance problem
 [D] Contacting the security office
 [E] Making a general appointment
 [F] Contacting the finance department</t>
  </si>
  <si>
    <t>What are the operating hours for the walk-in pre-operative clinics?
 A) Monday and Wednesday, 08:00 to 12:00
 B) Tuesday and Thursday, 13:00 to 16:00
 C) Friday, 15:00 to 18:00
 D) Saturday and Sunday, 09:00 to 17:00</t>
  </si>
  <si>
    <t>How many customer accounts were affected by Incident INC-2609-031?
 A) 335
 B) 512
 C) 798
 D) 418
 E) 738
 F) 131</t>
  </si>
  <si>
    <t>According to the document, what happens to a user's Dwello Eye camera recordings after they hand over or reset their home?
 A. They are transferred automatically to the new owner’s account along with device automations
 B. They are stored in the user’s account for 14 days for downloading before permanent deletion 
 C. They are erased immediately at 12:00 noon on the day the Handover Pass code is entered
 D. They are backed up to the physical memory of the Home Hub H3 for 30 days
 E. They are retained for 90 days in cloud storage provided the user has a Dwello Care Plus plan
 F. They can be recovered within 60 days upon paying an administration fee of 200 baht</t>
  </si>
  <si>
    <t>In an attention mechanism, suppose the alignment scores for three encoder hidden states are:
 Score₁ = 1
 Score₂ = 2
 Score₃ = 0
 Using the softmax formula for the alignment weight, what is the approximate value of a₂?</t>
  </si>
  <si>
    <t>How many step to build project</t>
  </si>
  <si>
    <t>Suppose an RNN uses the following equation:
 h_t = tanh(A^T x_t + B^T h_{t-1})
 Given:
 A^T = [1], B^T = [0.5]
 x_t = [2], h_{t-1} = [1]
 What is the approximate value of h_t?</t>
  </si>
  <si>
    <t>How many equations in this document</t>
  </si>
  <si>
    <t>Where is the first place in the first paragraph that it refers</t>
  </si>
  <si>
    <t>Nong Lom Chatbot</t>
  </si>
  <si>
    <t>What is id line to contact</t>
  </si>
  <si>
    <t>Who is the Guest Experience Manager of Sai Kaew Thong Beach Resort?</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</si>
</sst>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h:mm:ss"/>
    <numFmt numFmtId="165" formatCode="d-mmm-yy"/>
    <numFmt numFmtId="166" formatCode="d-mmm"/>
  </numFmts>
  <fonts count="15">
    <font>
      <sz val="10.0"/>
      <color rgb="FF000000"/>
      <name val="Arial"/>
      <scheme val="minor"/>
    </font>
    <font>
      <sz val="11.0"/>
      <color rgb="FF000000"/>
      <name val="&quot;Aptos Narrow&quot;"/>
    </font>
    <font>
      <color theme="1"/>
      <name val="Arial"/>
      <scheme val="minor"/>
    </font>
    <font>
      <color rgb="FF434343"/>
      <name val="Roboto"/>
    </font>
    <font>
      <color theme="1"/>
      <name val="Arial"/>
    </font>
    <font>
      <sz val="11.0"/>
      <color rgb="FFFF0000"/>
      <name val="&quot;Aptos Narrow&quot;"/>
    </font>
    <font>
      <sz val="11.0"/>
      <color rgb="FFFF0000"/>
      <name val="Arial"/>
    </font>
    <font>
      <sz val="11.0"/>
      <color rgb="FF000000"/>
      <name val="Arial"/>
    </font>
    <font>
      <color theme="1"/>
      <name val="Roboto"/>
    </font>
    <font>
      <color rgb="FF000000"/>
      <name val="Roboto"/>
    </font>
    <font>
      <color rgb="FF000000"/>
      <name val="Arial"/>
    </font>
    <font>
      <strike/>
      <sz val="11.0"/>
      <color rgb="FFFF0000"/>
      <name val="Arial"/>
    </font>
    <font>
      <strike/>
      <sz val="11.0"/>
      <color rgb="FF000000"/>
      <name val="&quot;Aptos Narrow&quot;"/>
    </font>
    <font>
      <strike/>
      <color theme="1"/>
      <name val="Arial"/>
      <scheme val="minor"/>
    </font>
    <font>
      <strike/>
      <sz val="11.0"/>
      <color rgb="FFFF0000"/>
      <name val="&quot;Aptos Narrow&quot;"/>
    </font>
  </fonts>
  <fills count="5">
    <fill>
      <patternFill patternType="none"/>
    </fill>
    <fill>
      <patternFill patternType="lightGray"/>
    </fill>
    <fill>
      <patternFill patternType="solid">
        <fgColor rgb="FFFFFFFF"/>
        <bgColor rgb="FFFFFFFF"/>
      </patternFill>
    </fill>
    <fill>
      <patternFill patternType="solid">
        <fgColor rgb="FFF8F9FA"/>
        <bgColor rgb="FFF8F9FA"/>
      </patternFill>
    </fill>
    <fill>
      <patternFill patternType="solid">
        <fgColor rgb="FFFF0000"/>
        <bgColor rgb="FFFF0000"/>
      </patternFill>
    </fill>
  </fills>
  <borders count="11">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FF0000"/>
      </left>
      <right style="thin">
        <color rgb="FFFF0000"/>
      </right>
      <top style="thin">
        <color rgb="FFFF0000"/>
      </top>
      <bottom style="thin">
        <color rgb="FFFF0000"/>
      </bottom>
    </border>
    <border>
      <left style="thin">
        <color rgb="FF442F65"/>
      </left>
      <right style="thin">
        <color rgb="FFFFFFFF"/>
      </right>
      <top style="thin">
        <color rgb="FFFFFFFF"/>
      </top>
      <bottom style="thin">
        <color rgb="FF442F65"/>
      </bottom>
    </border>
    <border>
      <left style="thin">
        <color rgb="FFFFFFFF"/>
      </left>
      <right style="thin">
        <color rgb="FFFFFFFF"/>
      </right>
      <top style="thin">
        <color rgb="FFFFFFFF"/>
      </top>
      <bottom style="thin">
        <color rgb="FF442F65"/>
      </bottom>
    </border>
    <border>
      <left style="thin">
        <color rgb="FFFFFFFF"/>
      </left>
      <right style="thin">
        <color rgb="FF442F65"/>
      </right>
      <top style="thin">
        <color rgb="FFFFFFFF"/>
      </top>
      <bottom style="thin">
        <color rgb="FF442F65"/>
      </bottom>
    </border>
  </borders>
  <cellStyleXfs count="1">
    <xf borderId="0" fillId="0" fontId="0" numFmtId="0" applyAlignment="1" applyFont="1"/>
  </cellStyleXfs>
  <cellXfs count="61">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1" numFmtId="0" xfId="0" applyAlignment="1" applyFont="1">
      <alignment readingOrder="0" shrinkToFit="0" vertical="bottom" wrapText="1"/>
    </xf>
    <xf borderId="0" fillId="0" fontId="1" numFmtId="0" xfId="0" applyAlignment="1" applyFont="1">
      <alignment horizontal="left" readingOrder="0" shrinkToFit="0" vertical="bottom" wrapText="0"/>
    </xf>
    <xf borderId="0" fillId="0" fontId="1" numFmtId="0" xfId="0" applyAlignment="1" applyFont="1">
      <alignment horizontal="right" readingOrder="0" shrinkToFit="0" vertical="bottom" wrapText="0"/>
    </xf>
    <xf borderId="0" fillId="0" fontId="2" numFmtId="0" xfId="0" applyFont="1"/>
    <xf borderId="0" fillId="2" fontId="3" numFmtId="164" xfId="0" applyAlignment="1" applyFill="1" applyFont="1" applyNumberFormat="1">
      <alignment horizontal="right" shrinkToFit="0" wrapText="0"/>
    </xf>
    <xf borderId="0" fillId="2" fontId="3" numFmtId="0" xfId="0" applyAlignment="1" applyFill="1" applyFont="1">
      <alignment horizontal="right" readingOrder="0" shrinkToFit="0" wrapText="0"/>
    </xf>
    <xf borderId="0" fillId="2" fontId="3" numFmtId="0" xfId="0" applyAlignment="1" applyFill="1" applyFont="1">
      <alignment readingOrder="0" shrinkToFit="0" wrapText="0"/>
    </xf>
    <xf borderId="0" fillId="2" fontId="3" numFmtId="0" xfId="0" applyAlignment="1" applyFill="1" applyFont="1">
      <alignment shrinkToFit="0" wrapText="0"/>
    </xf>
    <xf borderId="0" fillId="2" fontId="3" numFmtId="0" xfId="0" applyAlignment="1" applyFill="1" applyFont="1">
      <alignment horizontal="right" shrinkToFit="0" wrapText="0"/>
    </xf>
    <xf borderId="0" fillId="0" fontId="4" numFmtId="0" xfId="0" applyAlignment="1" applyFont="1">
      <alignment vertical="bottom"/>
    </xf>
    <xf borderId="1" fillId="2" fontId="3" numFmtId="164" xfId="0" applyAlignment="1" applyBorder="1" applyFill="1" applyFont="1" applyNumberFormat="1">
      <alignment horizontal="right" shrinkToFit="0" wrapText="0"/>
    </xf>
    <xf borderId="2" fillId="2" fontId="3" numFmtId="0" xfId="0" applyAlignment="1" applyBorder="1" applyFill="1" applyFont="1">
      <alignment horizontal="right" shrinkToFit="0" wrapText="0"/>
    </xf>
    <xf borderId="2" fillId="2" fontId="3" numFmtId="0" xfId="0" applyAlignment="1" applyBorder="1" applyFill="1" applyFont="1">
      <alignment shrinkToFit="0" wrapText="0"/>
    </xf>
    <xf quotePrefix="1" borderId="2" fillId="2" fontId="3" numFmtId="0" xfId="0" applyAlignment="1" applyBorder="1" applyFill="1" applyFont="1">
      <alignment shrinkToFit="0" wrapText="0"/>
    </xf>
    <xf borderId="0" fillId="0" fontId="5" numFmtId="0" xfId="0" applyAlignment="1" applyFont="1">
      <alignment horizontal="right" readingOrder="0" shrinkToFit="0" vertical="bottom" wrapText="0"/>
    </xf>
    <xf borderId="0" fillId="0" fontId="6" numFmtId="0" xfId="0" applyAlignment="1" applyFont="1">
      <alignment readingOrder="0" shrinkToFit="0" vertical="bottom" wrapText="1"/>
    </xf>
    <xf borderId="3" fillId="2" fontId="3" numFmtId="0" xfId="0" applyAlignment="1" applyBorder="1" applyFill="1" applyFont="1">
      <alignment horizontal="right" shrinkToFit="0" wrapText="0"/>
    </xf>
    <xf borderId="4" fillId="3" fontId="3" numFmtId="164" xfId="0" applyAlignment="1" applyBorder="1" applyFill="1" applyFont="1" applyNumberFormat="1">
      <alignment horizontal="right" shrinkToFit="0" wrapText="0"/>
    </xf>
    <xf borderId="5" fillId="3" fontId="3" numFmtId="0" xfId="0" applyAlignment="1" applyBorder="1" applyFill="1" applyFont="1">
      <alignment horizontal="right" shrinkToFit="0" wrapText="0"/>
    </xf>
    <xf borderId="5" fillId="3" fontId="3" numFmtId="0" xfId="0" applyAlignment="1" applyBorder="1" applyFill="1" applyFont="1">
      <alignment shrinkToFit="0" wrapText="0"/>
    </xf>
    <xf quotePrefix="1" borderId="5" fillId="3" fontId="3" numFmtId="0" xfId="0" applyAlignment="1" applyBorder="1" applyFill="1" applyFont="1">
      <alignment shrinkToFit="0" wrapText="0"/>
    </xf>
    <xf borderId="6" fillId="3" fontId="3" numFmtId="0" xfId="0" applyAlignment="1" applyBorder="1" applyFill="1" applyFont="1">
      <alignment horizontal="right" shrinkToFit="0" wrapText="0"/>
    </xf>
    <xf borderId="0" fillId="0" fontId="5" numFmtId="0" xfId="0" applyAlignment="1" applyFont="1">
      <alignment readingOrder="0" shrinkToFit="0" vertical="bottom" wrapText="1"/>
    </xf>
    <xf borderId="0" fillId="0" fontId="7" numFmtId="0" xfId="0" applyAlignment="1" applyFont="1">
      <alignment horizontal="left" readingOrder="0" shrinkToFit="0" vertical="bottom" wrapText="0"/>
    </xf>
    <xf borderId="2" fillId="4" fontId="3" numFmtId="0" xfId="0" applyAlignment="1" applyBorder="1" applyFill="1" applyFont="1">
      <alignment shrinkToFit="0" wrapText="0"/>
    </xf>
    <xf borderId="0" fillId="0" fontId="7" numFmtId="0" xfId="0" applyAlignment="1" applyFont="1">
      <alignment readingOrder="0" shrinkToFit="0" vertical="bottom" wrapText="1"/>
    </xf>
    <xf quotePrefix="1" borderId="3" fillId="2" fontId="3" numFmtId="0" xfId="0" applyAlignment="1" applyBorder="1" applyFill="1" applyFont="1">
      <alignment shrinkToFit="0" wrapText="0"/>
    </xf>
    <xf borderId="2" fillId="2" fontId="4" numFmtId="0" xfId="0" applyBorder="1" applyFill="1" applyFont="1"/>
    <xf borderId="3" fillId="2" fontId="4" numFmtId="0" xfId="0" applyBorder="1" applyFill="1" applyFont="1"/>
    <xf quotePrefix="1" borderId="6" fillId="3" fontId="3" numFmtId="0" xfId="0" applyAlignment="1" applyBorder="1" applyFill="1" applyFont="1">
      <alignment shrinkToFit="0" wrapText="0"/>
    </xf>
    <xf borderId="5" fillId="3" fontId="3" numFmtId="0" xfId="0" applyAlignment="1" applyBorder="1" applyFill="1" applyFont="1">
      <alignment readingOrder="0" shrinkToFit="0" wrapText="0"/>
    </xf>
    <xf borderId="5" fillId="4" fontId="3" numFmtId="0" xfId="0" applyAlignment="1" applyBorder="1" applyFill="1" applyFont="1">
      <alignment shrinkToFit="0" wrapText="0"/>
    </xf>
    <xf borderId="4" fillId="3" fontId="8" numFmtId="164" xfId="0" applyAlignment="1" applyBorder="1" applyFill="1" applyFont="1" applyNumberFormat="1">
      <alignment horizontal="right" shrinkToFit="0" wrapText="0"/>
    </xf>
    <xf borderId="5" fillId="3" fontId="8" numFmtId="0" xfId="0" applyAlignment="1" applyBorder="1" applyFill="1" applyFont="1">
      <alignment horizontal="right" shrinkToFit="0" wrapText="0"/>
    </xf>
    <xf borderId="5" fillId="3" fontId="8" numFmtId="0" xfId="0" applyAlignment="1" applyBorder="1" applyFill="1" applyFont="1">
      <alignment shrinkToFit="0" wrapText="0"/>
    </xf>
    <xf quotePrefix="1" borderId="5" fillId="3" fontId="8" numFmtId="0" xfId="0" applyAlignment="1" applyBorder="1" applyFill="1" applyFont="1">
      <alignment shrinkToFit="0" wrapText="0"/>
    </xf>
    <xf quotePrefix="1" borderId="6" fillId="3" fontId="8" numFmtId="0" xfId="0" applyAlignment="1" applyBorder="1" applyFill="1" applyFont="1">
      <alignment shrinkToFit="0" wrapText="0"/>
    </xf>
    <xf borderId="7" fillId="4" fontId="3" numFmtId="0" xfId="0" applyAlignment="1" applyBorder="1" applyFill="1" applyFont="1">
      <alignment shrinkToFit="0" wrapText="0"/>
    </xf>
    <xf borderId="5" fillId="3" fontId="4" numFmtId="0" xfId="0" applyBorder="1" applyFill="1" applyFont="1"/>
    <xf borderId="6" fillId="3" fontId="4" numFmtId="0" xfId="0" applyBorder="1" applyFill="1" applyFont="1"/>
    <xf borderId="8" fillId="2" fontId="9" numFmtId="164" xfId="0" applyAlignment="1" applyBorder="1" applyFill="1" applyFont="1" applyNumberFormat="1">
      <alignment horizontal="right" shrinkToFit="0" wrapText="0"/>
    </xf>
    <xf borderId="9" fillId="2" fontId="9" numFmtId="0" xfId="0" applyAlignment="1" applyBorder="1" applyFill="1" applyFont="1">
      <alignment horizontal="right" shrinkToFit="0" wrapText="0"/>
    </xf>
    <xf borderId="9" fillId="2" fontId="9" numFmtId="0" xfId="0" applyAlignment="1" applyBorder="1" applyFill="1" applyFont="1">
      <alignment shrinkToFit="0" wrapText="0"/>
    </xf>
    <xf borderId="9" fillId="4" fontId="9" numFmtId="0" xfId="0" applyAlignment="1" applyBorder="1" applyFill="1" applyFont="1">
      <alignment shrinkToFit="0" wrapText="0"/>
    </xf>
    <xf borderId="9" fillId="2" fontId="10" numFmtId="0" xfId="0" applyBorder="1" applyFill="1" applyFont="1"/>
    <xf borderId="10" fillId="2" fontId="10" numFmtId="0" xfId="0" applyBorder="1" applyFill="1" applyFont="1"/>
    <xf borderId="0" fillId="0" fontId="10" numFmtId="0" xfId="0" applyAlignment="1" applyFont="1">
      <alignment vertical="bottom"/>
    </xf>
    <xf borderId="0" fillId="0" fontId="11" numFmtId="0" xfId="0" applyAlignment="1" applyFont="1">
      <alignment horizontal="right" readingOrder="0" shrinkToFit="0" vertical="bottom" wrapText="0"/>
    </xf>
    <xf borderId="0" fillId="0" fontId="11" numFmtId="0" xfId="0" applyAlignment="1" applyFont="1">
      <alignment readingOrder="0" shrinkToFit="0" vertical="bottom" wrapText="1"/>
    </xf>
    <xf borderId="0" fillId="0" fontId="12" numFmtId="0" xfId="0" applyAlignment="1" applyFont="1">
      <alignment horizontal="left" readingOrder="0" shrinkToFit="0" vertical="bottom" wrapText="0"/>
    </xf>
    <xf borderId="0" fillId="0" fontId="13" numFmtId="0" xfId="0" applyFont="1"/>
    <xf borderId="0" fillId="0" fontId="1" numFmtId="20" xfId="0" applyAlignment="1" applyFont="1" applyNumberFormat="1">
      <alignment horizontal="left" readingOrder="0" shrinkToFit="0" vertical="bottom" wrapText="0"/>
    </xf>
    <xf borderId="0" fillId="0" fontId="14" numFmtId="0" xfId="0" applyAlignment="1" applyFont="1">
      <alignment horizontal="right" readingOrder="0" shrinkToFit="0" vertical="bottom" wrapText="0"/>
    </xf>
    <xf borderId="0" fillId="0" fontId="14" numFmtId="0" xfId="0" applyAlignment="1" applyFont="1">
      <alignment readingOrder="0" shrinkToFit="0" vertical="bottom" wrapText="1"/>
    </xf>
    <xf borderId="0" fillId="0" fontId="6" numFmtId="0" xfId="0" applyAlignment="1" applyFont="1">
      <alignment horizontal="right" readingOrder="0" shrinkToFit="0" vertical="bottom" wrapText="0"/>
    </xf>
    <xf borderId="0" fillId="0" fontId="1" numFmtId="165" xfId="0" applyAlignment="1" applyFont="1" applyNumberFormat="1">
      <alignment horizontal="left" readingOrder="0" shrinkToFit="0" vertical="bottom" wrapText="0"/>
    </xf>
    <xf borderId="0" fillId="0" fontId="1" numFmtId="166" xfId="0" applyAlignment="1" applyFont="1" applyNumberFormat="1">
      <alignment horizontal="left" readingOrder="0" shrinkToFit="0" vertical="bottom" wrapText="0"/>
    </xf>
    <xf borderId="0" fillId="0" fontId="2" numFmtId="0" xfId="0" applyAlignment="1" applyFont="1">
      <alignment shrinkToFit="0" wrapText="1"/>
    </xf>
    <xf borderId="0" fillId="0" fontId="2" numFmtId="0" xfId="0" applyAlignment="1" applyFont="1">
      <alignment horizontal="left"/>
    </xf>
  </cellXfs>
  <cellStyles count="1">
    <cellStyle xfId="0" name="Normal" builtinId="0"/>
  </cellStyles>
  <dxfs count="4">
    <dxf>
      <font/>
      <fill>
        <patternFill patternType="none"/>
      </fill>
      <border/>
    </dxf>
    <dxf>
      <font/>
      <fill>
        <patternFill patternType="solid">
          <fgColor rgb="FFFFFFFF"/>
          <bgColor rgb="FFFFFFFF"/>
        </patternFill>
      </fill>
      <border/>
    </dxf>
    <dxf>
      <font/>
      <fill>
        <patternFill patternType="solid">
          <fgColor rgb="FFF8F9FA"/>
          <bgColor rgb="FFF8F9FA"/>
        </patternFill>
      </fill>
      <border/>
    </dxf>
    <dxf>
      <font/>
      <fill>
        <patternFill patternType="solid">
          <fgColor rgb="FFFCE5CD"/>
          <bgColor rgb="FFFCE5CD"/>
        </patternFill>
      </fill>
      <border/>
    </dxf>
  </dxfs>
  <tableStyles count="1">
    <tableStyle count="2" pivot="0" name="Sheet2-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AM34" displayName="Table_1" name="Table_1" id="1">
  <tableColumns count="3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s>
  <tableStyleInfo name="Sheet2-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88"/>
    <col customWidth="1" min="2" max="2" width="51.25"/>
  </cols>
  <sheetData>
    <row r="1">
      <c r="A1" s="1" t="s">
        <v>0</v>
      </c>
      <c r="B1" s="2" t="s">
        <v>1</v>
      </c>
      <c r="C1" s="3" t="s">
        <v>2</v>
      </c>
      <c r="D1" s="3" t="s">
        <v>3</v>
      </c>
    </row>
    <row r="2">
      <c r="A2" s="4">
        <v>1.0</v>
      </c>
      <c r="B2" s="2" t="s">
        <v>4</v>
      </c>
      <c r="C2" s="3">
        <v>46.0</v>
      </c>
      <c r="D2" s="3">
        <v>69.0</v>
      </c>
      <c r="E2" s="5">
        <f>IFERROR(__xludf.DUMMYFUNCTION("IF(B2="""", 0, COUNTA(SPLIT(TRIM(B2), "" "")))"),11.0)</f>
        <v>11</v>
      </c>
      <c r="F2" s="5">
        <f>IFERROR(__xludf.DUMMYFUNCTION("IF(C2="""", 0, COUNTA(SPLIT(TRIM(C2), "" "")))"),1.0)</f>
        <v>1</v>
      </c>
    </row>
    <row r="3">
      <c r="A3" s="4">
        <v>2.0</v>
      </c>
      <c r="B3" s="2" t="s">
        <v>5</v>
      </c>
      <c r="C3" s="3" t="s">
        <v>6</v>
      </c>
      <c r="D3" s="3">
        <v>95.0</v>
      </c>
      <c r="E3" s="5">
        <f>IFERROR(__xludf.DUMMYFUNCTION("IF(B3="""", 0, COUNTA(SPLIT(TRIM(B3), "" "")))"),13.0)</f>
        <v>13</v>
      </c>
      <c r="F3" s="5">
        <f>IFERROR(__xludf.DUMMYFUNCTION("IF(C3="""", 0, COUNTA(SPLIT(TRIM(C3), "" "")))"),6.0)</f>
        <v>6</v>
      </c>
    </row>
    <row r="4">
      <c r="A4" s="4">
        <v>3.0</v>
      </c>
      <c r="B4" s="2" t="s">
        <v>7</v>
      </c>
      <c r="C4" s="3" t="s">
        <v>8</v>
      </c>
      <c r="D4" s="3">
        <v>1.0</v>
      </c>
      <c r="E4" s="5">
        <f>IFERROR(__xludf.DUMMYFUNCTION("IF(B4="""", 0, COUNTA(SPLIT(TRIM(B4), "" "")))"),19.0)</f>
        <v>19</v>
      </c>
      <c r="F4" s="5">
        <f>IFERROR(__xludf.DUMMYFUNCTION("IF(C4="""", 0, COUNTA(SPLIT(TRIM(C4), "" "")))"),1.0)</f>
        <v>1</v>
      </c>
    </row>
    <row r="5">
      <c r="A5" s="4">
        <v>4.0</v>
      </c>
      <c r="B5" s="2" t="s">
        <v>9</v>
      </c>
      <c r="C5" s="3" t="s">
        <v>10</v>
      </c>
      <c r="D5" s="3">
        <v>18.0</v>
      </c>
      <c r="E5" s="5">
        <f>IFERROR(__xludf.DUMMYFUNCTION("IF(B5="""", 0, COUNTA(SPLIT(TRIM(B5), "" "")))"),25.0)</f>
        <v>25</v>
      </c>
      <c r="F5" s="5">
        <f>IFERROR(__xludf.DUMMYFUNCTION("IF(C5="""", 0, COUNTA(SPLIT(TRIM(C5), "" "")))"),1.0)</f>
        <v>1</v>
      </c>
    </row>
    <row r="6">
      <c r="A6" s="4">
        <v>5.0</v>
      </c>
      <c r="B6" s="2" t="s">
        <v>11</v>
      </c>
      <c r="C6" s="3" t="s">
        <v>12</v>
      </c>
      <c r="D6" s="3">
        <v>85.0</v>
      </c>
      <c r="E6" s="5">
        <f>IFERROR(__xludf.DUMMYFUNCTION("IF(B6="""", 0, COUNTA(SPLIT(TRIM(B6), "" "")))"),22.0)</f>
        <v>22</v>
      </c>
      <c r="F6" s="5">
        <f>IFERROR(__xludf.DUMMYFUNCTION("IF(C6="""", 0, COUNTA(SPLIT(TRIM(C6), "" "")))"),1.0)</f>
        <v>1</v>
      </c>
    </row>
    <row r="7">
      <c r="A7" s="4">
        <v>6.0</v>
      </c>
      <c r="B7" s="2" t="s">
        <v>13</v>
      </c>
      <c r="C7" s="3">
        <v>520.0</v>
      </c>
      <c r="D7" s="3">
        <v>9.0</v>
      </c>
      <c r="E7" s="5">
        <f>IFERROR(__xludf.DUMMYFUNCTION("IF(B7="""", 0, COUNTA(SPLIT(TRIM(B7), "" "")))"),15.0)</f>
        <v>15</v>
      </c>
      <c r="F7" s="5">
        <f>IFERROR(__xludf.DUMMYFUNCTION("IF(C7="""", 0, COUNTA(SPLIT(TRIM(C7), "" "")))"),1.0)</f>
        <v>1</v>
      </c>
    </row>
    <row r="8">
      <c r="A8" s="4">
        <v>7.0</v>
      </c>
      <c r="B8" s="2" t="s">
        <v>14</v>
      </c>
      <c r="C8" s="3" t="s">
        <v>15</v>
      </c>
      <c r="D8" s="3">
        <v>48.0</v>
      </c>
      <c r="E8" s="5">
        <f>IFERROR(__xludf.DUMMYFUNCTION("IF(B8="""", 0, COUNTA(SPLIT(TRIM(B8), "" "")))"),8.0)</f>
        <v>8</v>
      </c>
      <c r="F8" s="5">
        <f>IFERROR(__xludf.DUMMYFUNCTION("IF(C8="""", 0, COUNTA(SPLIT(TRIM(C8), "" "")))"),2.0)</f>
        <v>2</v>
      </c>
    </row>
    <row r="9">
      <c r="A9" s="4">
        <v>8.0</v>
      </c>
      <c r="B9" s="2" t="s">
        <v>16</v>
      </c>
      <c r="C9" s="3" t="s">
        <v>17</v>
      </c>
      <c r="D9" s="3">
        <v>100.0</v>
      </c>
      <c r="E9" s="5">
        <f>IFERROR(__xludf.DUMMYFUNCTION("IF(B9="""", 0, COUNTA(SPLIT(TRIM(B9), "" "")))"),26.0)</f>
        <v>26</v>
      </c>
      <c r="F9" s="5">
        <f>IFERROR(__xludf.DUMMYFUNCTION("IF(C9="""", 0, COUNTA(SPLIT(TRIM(C9), "" "")))"),1.0)</f>
        <v>1</v>
      </c>
    </row>
    <row r="10">
      <c r="A10" s="4">
        <v>9.0</v>
      </c>
      <c r="B10" s="2" t="s">
        <v>19</v>
      </c>
      <c r="C10" s="3" t="s">
        <v>10</v>
      </c>
      <c r="D10" s="3">
        <v>94.0</v>
      </c>
      <c r="E10" s="5">
        <f>IFERROR(__xludf.DUMMYFUNCTION("IF(B10="""", 0, COUNTA(SPLIT(TRIM(B10), "" "")))"),18.0)</f>
        <v>18</v>
      </c>
      <c r="F10" s="5">
        <f>IFERROR(__xludf.DUMMYFUNCTION("IF(C10="""", 0, COUNTA(SPLIT(TRIM(C10), "" "")))"),1.0)</f>
        <v>1</v>
      </c>
    </row>
    <row r="11">
      <c r="A11" s="4">
        <v>10.0</v>
      </c>
      <c r="B11" s="2" t="s">
        <v>21</v>
      </c>
      <c r="C11" s="3" t="s">
        <v>12</v>
      </c>
      <c r="D11" s="3">
        <v>9.0</v>
      </c>
      <c r="E11" s="5">
        <f>IFERROR(__xludf.DUMMYFUNCTION("IF(B11="""", 0, COUNTA(SPLIT(TRIM(B11), "" "")))"),25.0)</f>
        <v>25</v>
      </c>
      <c r="F11" s="5">
        <f>IFERROR(__xludf.DUMMYFUNCTION("IF(C11="""", 0, COUNTA(SPLIT(TRIM(C11), "" "")))"),1.0)</f>
        <v>1</v>
      </c>
    </row>
    <row r="12">
      <c r="A12" s="4">
        <v>11.0</v>
      </c>
      <c r="B12" s="2" t="s">
        <v>22</v>
      </c>
      <c r="C12" s="3" t="s">
        <v>12</v>
      </c>
      <c r="D12" s="3">
        <v>3.0</v>
      </c>
      <c r="E12" s="5">
        <f>IFERROR(__xludf.DUMMYFUNCTION("IF(B12="""", 0, COUNTA(SPLIT(TRIM(B12), "" "")))"),22.0)</f>
        <v>22</v>
      </c>
      <c r="F12" s="5">
        <f>IFERROR(__xludf.DUMMYFUNCTION("IF(C12="""", 0, COUNTA(SPLIT(TRIM(C12), "" "")))"),1.0)</f>
        <v>1</v>
      </c>
    </row>
    <row r="13">
      <c r="A13" s="4">
        <v>12.0</v>
      </c>
      <c r="B13" s="2" t="s">
        <v>23</v>
      </c>
      <c r="C13" s="3" t="s">
        <v>12</v>
      </c>
      <c r="D13" s="3">
        <v>7.0</v>
      </c>
      <c r="E13" s="5">
        <f>IFERROR(__xludf.DUMMYFUNCTION("IF(B13="""", 0, COUNTA(SPLIT(TRIM(B13), "" "")))"),13.0)</f>
        <v>13</v>
      </c>
      <c r="F13" s="5">
        <f>IFERROR(__xludf.DUMMYFUNCTION("IF(C13="""", 0, COUNTA(SPLIT(TRIM(C13), "" "")))"),1.0)</f>
        <v>1</v>
      </c>
    </row>
    <row r="14">
      <c r="A14" s="4">
        <v>13.0</v>
      </c>
      <c r="B14" s="2" t="s">
        <v>24</v>
      </c>
      <c r="C14" s="3" t="s">
        <v>10</v>
      </c>
      <c r="D14" s="3">
        <v>27.0</v>
      </c>
      <c r="E14" s="5">
        <f>IFERROR(__xludf.DUMMYFUNCTION("IF(B14="""", 0, COUNTA(SPLIT(TRIM(B14), "" "")))"),18.0)</f>
        <v>18</v>
      </c>
      <c r="F14" s="5">
        <f>IFERROR(__xludf.DUMMYFUNCTION("IF(C14="""", 0, COUNTA(SPLIT(TRIM(C14), "" "")))"),1.0)</f>
        <v>1</v>
      </c>
    </row>
    <row r="15">
      <c r="A15" s="4">
        <v>14.0</v>
      </c>
      <c r="B15" s="2" t="s">
        <v>25</v>
      </c>
      <c r="C15" s="3" t="s">
        <v>12</v>
      </c>
      <c r="D15" s="3">
        <v>2.0</v>
      </c>
      <c r="E15" s="5">
        <f>IFERROR(__xludf.DUMMYFUNCTION("IF(B15="""", 0, COUNTA(SPLIT(TRIM(B15), "" "")))"),16.0)</f>
        <v>16</v>
      </c>
      <c r="F15" s="5">
        <f>IFERROR(__xludf.DUMMYFUNCTION("IF(C15="""", 0, COUNTA(SPLIT(TRIM(C15), "" "")))"),1.0)</f>
        <v>1</v>
      </c>
    </row>
    <row r="16">
      <c r="A16" s="4">
        <v>15.0</v>
      </c>
      <c r="B16" s="2" t="s">
        <v>26</v>
      </c>
      <c r="C16" s="3" t="s">
        <v>10</v>
      </c>
      <c r="D16" s="3">
        <v>10.0</v>
      </c>
      <c r="E16" s="5">
        <f>IFERROR(__xludf.DUMMYFUNCTION("IF(B16="""", 0, COUNTA(SPLIT(TRIM(B16), "" "")))"),9.0)</f>
        <v>9</v>
      </c>
      <c r="F16" s="5">
        <f>IFERROR(__xludf.DUMMYFUNCTION("IF(C16="""", 0, COUNTA(SPLIT(TRIM(C16), "" "")))"),1.0)</f>
        <v>1</v>
      </c>
    </row>
    <row r="17">
      <c r="A17" s="4">
        <v>16.0</v>
      </c>
      <c r="B17" s="2" t="s">
        <v>27</v>
      </c>
      <c r="C17" s="3" t="s">
        <v>10</v>
      </c>
      <c r="D17" s="3">
        <v>9.0</v>
      </c>
      <c r="E17" s="5">
        <f>IFERROR(__xludf.DUMMYFUNCTION("IF(B17="""", 0, COUNTA(SPLIT(TRIM(B17), "" "")))"),14.0)</f>
        <v>14</v>
      </c>
      <c r="F17" s="5">
        <f>IFERROR(__xludf.DUMMYFUNCTION("IF(C17="""", 0, COUNTA(SPLIT(TRIM(C17), "" "")))"),1.0)</f>
        <v>1</v>
      </c>
    </row>
    <row r="18">
      <c r="A18" s="4">
        <v>17.0</v>
      </c>
      <c r="B18" s="2" t="s">
        <v>28</v>
      </c>
      <c r="C18" s="3" t="s">
        <v>12</v>
      </c>
      <c r="D18" s="3">
        <v>1.0</v>
      </c>
      <c r="E18" s="5">
        <f>IFERROR(__xludf.DUMMYFUNCTION("IF(B18="""", 0, COUNTA(SPLIT(TRIM(B18), "" "")))"),25.0)</f>
        <v>25</v>
      </c>
      <c r="F18" s="5">
        <f>IFERROR(__xludf.DUMMYFUNCTION("IF(C18="""", 0, COUNTA(SPLIT(TRIM(C18), "" "")))"),1.0)</f>
        <v>1</v>
      </c>
    </row>
    <row r="19">
      <c r="A19" s="4">
        <v>18.0</v>
      </c>
      <c r="B19" s="2" t="s">
        <v>30</v>
      </c>
      <c r="C19" s="3" t="s">
        <v>12</v>
      </c>
      <c r="D19" s="3">
        <v>13.0</v>
      </c>
      <c r="E19" s="5">
        <f>IFERROR(__xludf.DUMMYFUNCTION("IF(B19="""", 0, COUNTA(SPLIT(TRIM(B19), "" "")))"),14.0)</f>
        <v>14</v>
      </c>
      <c r="F19" s="5">
        <f>IFERROR(__xludf.DUMMYFUNCTION("IF(C19="""", 0, COUNTA(SPLIT(TRIM(C19), "" "")))"),1.0)</f>
        <v>1</v>
      </c>
    </row>
    <row r="20">
      <c r="A20" s="4">
        <v>19.0</v>
      </c>
      <c r="B20" s="2" t="s">
        <v>33</v>
      </c>
      <c r="C20" s="3" t="s">
        <v>10</v>
      </c>
      <c r="D20" s="3">
        <v>2.0</v>
      </c>
      <c r="E20" s="5">
        <f>IFERROR(__xludf.DUMMYFUNCTION("IF(B20="""", 0, COUNTA(SPLIT(TRIM(B20), "" "")))"),12.0)</f>
        <v>12</v>
      </c>
      <c r="F20" s="5">
        <f>IFERROR(__xludf.DUMMYFUNCTION("IF(C20="""", 0, COUNTA(SPLIT(TRIM(C20), "" "")))"),1.0)</f>
        <v>1</v>
      </c>
    </row>
    <row r="21">
      <c r="A21" s="4">
        <v>20.0</v>
      </c>
      <c r="B21" s="2" t="s">
        <v>38</v>
      </c>
      <c r="C21" s="3" t="s">
        <v>10</v>
      </c>
      <c r="D21" s="3">
        <v>7.0</v>
      </c>
      <c r="E21" s="5">
        <f>IFERROR(__xludf.DUMMYFUNCTION("IF(B21="""", 0, COUNTA(SPLIT(TRIM(B21), "" "")))"),8.0)</f>
        <v>8</v>
      </c>
      <c r="F21" s="5">
        <f>IFERROR(__xludf.DUMMYFUNCTION("IF(C21="""", 0, COUNTA(SPLIT(TRIM(C21), "" "")))"),1.0)</f>
        <v>1</v>
      </c>
    </row>
    <row r="22">
      <c r="A22" s="4">
        <v>21.0</v>
      </c>
      <c r="B22" s="2" t="s">
        <v>42</v>
      </c>
      <c r="C22" s="3" t="s">
        <v>12</v>
      </c>
      <c r="D22" s="3">
        <v>8.0</v>
      </c>
      <c r="E22" s="5">
        <f>IFERROR(__xludf.DUMMYFUNCTION("IF(B22="""", 0, COUNTA(SPLIT(TRIM(B22), "" "")))"),19.0)</f>
        <v>19</v>
      </c>
      <c r="F22" s="5">
        <f>IFERROR(__xludf.DUMMYFUNCTION("IF(C22="""", 0, COUNTA(SPLIT(TRIM(C22), "" "")))"),1.0)</f>
        <v>1</v>
      </c>
    </row>
    <row r="23">
      <c r="A23" s="16">
        <v>22.0</v>
      </c>
      <c r="B23" s="17" t="s">
        <v>49</v>
      </c>
      <c r="C23" s="3" t="s">
        <v>12</v>
      </c>
      <c r="D23" s="3">
        <v>4.0</v>
      </c>
      <c r="E23" s="5">
        <f>IFERROR(__xludf.DUMMYFUNCTION("IF(B23="""", 0, COUNTA(SPLIT(TRIM(B23), "" "")))"),10.0)</f>
        <v>10</v>
      </c>
      <c r="F23" s="5">
        <f>IFERROR(__xludf.DUMMYFUNCTION("IF(C23="""", 0, COUNTA(SPLIT(TRIM(C23), "" "")))"),1.0)</f>
        <v>1</v>
      </c>
    </row>
    <row r="24">
      <c r="A24" s="4">
        <v>23.0</v>
      </c>
      <c r="B24" s="2" t="s">
        <v>50</v>
      </c>
      <c r="C24" s="3" t="s">
        <v>10</v>
      </c>
      <c r="D24" s="3">
        <v>97.0</v>
      </c>
      <c r="E24" s="5">
        <f>IFERROR(__xludf.DUMMYFUNCTION("IF(B24="""", 0, COUNTA(SPLIT(TRIM(B24), "" "")))"),15.0)</f>
        <v>15</v>
      </c>
      <c r="F24" s="5">
        <f>IFERROR(__xludf.DUMMYFUNCTION("IF(C24="""", 0, COUNTA(SPLIT(TRIM(C24), "" "")))"),1.0)</f>
        <v>1</v>
      </c>
    </row>
    <row r="25">
      <c r="A25" s="4">
        <v>24.0</v>
      </c>
      <c r="B25" s="2" t="s">
        <v>51</v>
      </c>
      <c r="C25" s="3" t="s">
        <v>12</v>
      </c>
      <c r="D25" s="3">
        <v>10.0</v>
      </c>
      <c r="E25" s="5">
        <f>IFERROR(__xludf.DUMMYFUNCTION("IF(B25="""", 0, COUNTA(SPLIT(TRIM(B25), "" "")))"),16.0)</f>
        <v>16</v>
      </c>
      <c r="F25" s="5">
        <f>IFERROR(__xludf.DUMMYFUNCTION("IF(C25="""", 0, COUNTA(SPLIT(TRIM(C25), "" "")))"),1.0)</f>
        <v>1</v>
      </c>
    </row>
    <row r="26">
      <c r="A26" s="4">
        <v>25.0</v>
      </c>
      <c r="B26" s="2" t="s">
        <v>29</v>
      </c>
      <c r="C26" s="3" t="s">
        <v>10</v>
      </c>
      <c r="D26" s="3">
        <v>74.0</v>
      </c>
      <c r="E26" s="5">
        <f>IFERROR(__xludf.DUMMYFUNCTION("IF(B26="""", 0, COUNTA(SPLIT(TRIM(B26), "" "")))"),17.0)</f>
        <v>17</v>
      </c>
      <c r="F26" s="5">
        <f>IFERROR(__xludf.DUMMYFUNCTION("IF(C26="""", 0, COUNTA(SPLIT(TRIM(C26), "" "")))"),1.0)</f>
        <v>1</v>
      </c>
    </row>
    <row r="27">
      <c r="A27" s="4">
        <v>26.0</v>
      </c>
      <c r="B27" s="2" t="s">
        <v>52</v>
      </c>
      <c r="C27" s="3" t="s">
        <v>10</v>
      </c>
      <c r="D27" s="3">
        <v>9.0</v>
      </c>
      <c r="E27" s="5">
        <f>IFERROR(__xludf.DUMMYFUNCTION("IF(B27="""", 0, COUNTA(SPLIT(TRIM(B27), "" "")))"),19.0)</f>
        <v>19</v>
      </c>
      <c r="F27" s="5">
        <f>IFERROR(__xludf.DUMMYFUNCTION("IF(C27="""", 0, COUNTA(SPLIT(TRIM(C27), "" "")))"),1.0)</f>
        <v>1</v>
      </c>
    </row>
    <row r="28">
      <c r="A28" s="4">
        <v>27.0</v>
      </c>
      <c r="B28" s="2" t="s">
        <v>57</v>
      </c>
      <c r="C28" s="3" t="s">
        <v>12</v>
      </c>
      <c r="D28" s="3">
        <v>3.0</v>
      </c>
      <c r="E28" s="5">
        <f>IFERROR(__xludf.DUMMYFUNCTION("IF(B28="""", 0, COUNTA(SPLIT(TRIM(B28), "" "")))"),18.0)</f>
        <v>18</v>
      </c>
      <c r="F28" s="5">
        <f>IFERROR(__xludf.DUMMYFUNCTION("IF(C28="""", 0, COUNTA(SPLIT(TRIM(C28), "" "")))"),1.0)</f>
        <v>1</v>
      </c>
    </row>
    <row r="29">
      <c r="A29" s="4">
        <v>28.0</v>
      </c>
      <c r="B29" s="2" t="s">
        <v>61</v>
      </c>
      <c r="C29" s="3" t="s">
        <v>10</v>
      </c>
      <c r="D29" s="3">
        <v>27.0</v>
      </c>
      <c r="E29" s="5">
        <f>IFERROR(__xludf.DUMMYFUNCTION("IF(B29="""", 0, COUNTA(SPLIT(TRIM(B29), "" "")))"),14.0)</f>
        <v>14</v>
      </c>
      <c r="F29" s="5">
        <f>IFERROR(__xludf.DUMMYFUNCTION("IF(C29="""", 0, COUNTA(SPLIT(TRIM(C29), "" "")))"),1.0)</f>
        <v>1</v>
      </c>
    </row>
    <row r="30">
      <c r="A30" s="4">
        <v>29.0</v>
      </c>
      <c r="B30" s="2" t="s">
        <v>66</v>
      </c>
      <c r="C30" s="3" t="s">
        <v>12</v>
      </c>
      <c r="D30" s="3">
        <v>27.0</v>
      </c>
      <c r="E30" s="5">
        <f>IFERROR(__xludf.DUMMYFUNCTION("IF(B30="""", 0, COUNTA(SPLIT(TRIM(B30), "" "")))"),26.0)</f>
        <v>26</v>
      </c>
      <c r="F30" s="5">
        <f>IFERROR(__xludf.DUMMYFUNCTION("IF(C30="""", 0, COUNTA(SPLIT(TRIM(C30), "" "")))"),1.0)</f>
        <v>1</v>
      </c>
    </row>
    <row r="31">
      <c r="A31" s="4">
        <v>30.0</v>
      </c>
      <c r="B31" s="2" t="s">
        <v>70</v>
      </c>
      <c r="C31" s="3" t="s">
        <v>10</v>
      </c>
      <c r="D31" s="3">
        <v>2.0</v>
      </c>
      <c r="E31" s="5">
        <f>IFERROR(__xludf.DUMMYFUNCTION("IF(B31="""", 0, COUNTA(SPLIT(TRIM(B31), "" "")))"),19.0)</f>
        <v>19</v>
      </c>
      <c r="F31" s="5">
        <f>IFERROR(__xludf.DUMMYFUNCTION("IF(C31="""", 0, COUNTA(SPLIT(TRIM(C31), "" "")))"),1.0)</f>
        <v>1</v>
      </c>
    </row>
    <row r="32">
      <c r="A32" s="4">
        <v>31.0</v>
      </c>
      <c r="B32" s="2" t="s">
        <v>71</v>
      </c>
      <c r="C32" s="3" t="s">
        <v>12</v>
      </c>
      <c r="D32" s="3">
        <v>10.0</v>
      </c>
      <c r="E32" s="5">
        <f>IFERROR(__xludf.DUMMYFUNCTION("IF(B32="""", 0, COUNTA(SPLIT(TRIM(B32), "" "")))"),9.0)</f>
        <v>9</v>
      </c>
      <c r="F32" s="5">
        <f>IFERROR(__xludf.DUMMYFUNCTION("IF(C32="""", 0, COUNTA(SPLIT(TRIM(C32), "" "")))"),1.0)</f>
        <v>1</v>
      </c>
    </row>
    <row r="33">
      <c r="A33" s="4">
        <v>32.0</v>
      </c>
      <c r="B33" s="2" t="s">
        <v>73</v>
      </c>
      <c r="C33" s="3" t="s">
        <v>10</v>
      </c>
      <c r="D33" s="3">
        <v>9.0</v>
      </c>
      <c r="E33" s="5">
        <f>IFERROR(__xludf.DUMMYFUNCTION("IF(B33="""", 0, COUNTA(SPLIT(TRIM(B33), "" "")))"),12.0)</f>
        <v>12</v>
      </c>
      <c r="F33" s="5">
        <f>IFERROR(__xludf.DUMMYFUNCTION("IF(C33="""", 0, COUNTA(SPLIT(TRIM(C33), "" "")))"),1.0)</f>
        <v>1</v>
      </c>
    </row>
    <row r="34">
      <c r="A34" s="4">
        <v>33.0</v>
      </c>
      <c r="B34" s="2" t="s">
        <v>79</v>
      </c>
      <c r="C34" s="3" t="s">
        <v>10</v>
      </c>
      <c r="D34" s="3">
        <v>31.0</v>
      </c>
      <c r="E34" s="5">
        <f>IFERROR(__xludf.DUMMYFUNCTION("IF(B34="""", 0, COUNTA(SPLIT(TRIM(B34), "" "")))"),29.0)</f>
        <v>29</v>
      </c>
      <c r="F34" s="5">
        <f>IFERROR(__xludf.DUMMYFUNCTION("IF(C34="""", 0, COUNTA(SPLIT(TRIM(C34), "" "")))"),1.0)</f>
        <v>1</v>
      </c>
    </row>
    <row r="35">
      <c r="A35" s="4">
        <v>34.0</v>
      </c>
      <c r="B35" s="2" t="s">
        <v>86</v>
      </c>
      <c r="C35" s="3" t="s">
        <v>12</v>
      </c>
      <c r="D35" s="3">
        <v>93.0</v>
      </c>
      <c r="E35" s="5">
        <f>IFERROR(__xludf.DUMMYFUNCTION("IF(B35="""", 0, COUNTA(SPLIT(TRIM(B35), "" "")))"),18.0)</f>
        <v>18</v>
      </c>
      <c r="F35" s="5">
        <f>IFERROR(__xludf.DUMMYFUNCTION("IF(C35="""", 0, COUNTA(SPLIT(TRIM(C35), "" "")))"),1.0)</f>
        <v>1</v>
      </c>
    </row>
    <row r="36">
      <c r="A36" s="4">
        <v>35.0</v>
      </c>
      <c r="B36" s="2" t="s">
        <v>92</v>
      </c>
      <c r="C36" s="3" t="s">
        <v>12</v>
      </c>
      <c r="D36" s="3">
        <v>12.0</v>
      </c>
      <c r="E36" s="5">
        <f>IFERROR(__xludf.DUMMYFUNCTION("IF(B36="""", 0, COUNTA(SPLIT(TRIM(B36), "" "")))"),13.0)</f>
        <v>13</v>
      </c>
      <c r="F36" s="5">
        <f>IFERROR(__xludf.DUMMYFUNCTION("IF(C36="""", 0, COUNTA(SPLIT(TRIM(C36), "" "")))"),1.0)</f>
        <v>1</v>
      </c>
    </row>
    <row r="37">
      <c r="A37" s="4">
        <v>36.0</v>
      </c>
      <c r="B37" s="2" t="s">
        <v>97</v>
      </c>
      <c r="C37" s="3" t="s">
        <v>10</v>
      </c>
      <c r="D37" s="3">
        <v>7.0</v>
      </c>
      <c r="E37" s="5">
        <f>IFERROR(__xludf.DUMMYFUNCTION("IF(B37="""", 0, COUNTA(SPLIT(TRIM(B37), "" "")))"),15.0)</f>
        <v>15</v>
      </c>
      <c r="F37" s="5">
        <f>IFERROR(__xludf.DUMMYFUNCTION("IF(C37="""", 0, COUNTA(SPLIT(TRIM(C37), "" "")))"),1.0)</f>
        <v>1</v>
      </c>
    </row>
    <row r="38">
      <c r="A38" s="4">
        <v>37.0</v>
      </c>
      <c r="B38" s="2" t="s">
        <v>104</v>
      </c>
      <c r="C38" s="3" t="s">
        <v>12</v>
      </c>
      <c r="D38" s="3">
        <v>28.0</v>
      </c>
      <c r="E38" s="5">
        <f>IFERROR(__xludf.DUMMYFUNCTION("IF(B38="""", 0, COUNTA(SPLIT(TRIM(B38), "" "")))"),16.0)</f>
        <v>16</v>
      </c>
      <c r="F38" s="5">
        <f>IFERROR(__xludf.DUMMYFUNCTION("IF(C38="""", 0, COUNTA(SPLIT(TRIM(C38), "" "")))"),1.0)</f>
        <v>1</v>
      </c>
    </row>
    <row r="39">
      <c r="A39" s="16">
        <v>38.0</v>
      </c>
      <c r="B39" s="24" t="s">
        <v>109</v>
      </c>
      <c r="C39" s="3" t="s">
        <v>12</v>
      </c>
      <c r="D39" s="25">
        <v>14.0</v>
      </c>
      <c r="E39" s="5">
        <f>IFERROR(__xludf.DUMMYFUNCTION("IF(B39="""", 0, COUNTA(SPLIT(TRIM(B39), "" "")))"),13.0)</f>
        <v>13</v>
      </c>
      <c r="F39" s="5">
        <f>IFERROR(__xludf.DUMMYFUNCTION("IF(C39="""", 0, COUNTA(SPLIT(TRIM(C39), "" "")))"),1.0)</f>
        <v>1</v>
      </c>
    </row>
    <row r="40">
      <c r="A40" s="4">
        <v>39.0</v>
      </c>
      <c r="B40" s="2" t="s">
        <v>121</v>
      </c>
      <c r="C40" s="3" t="s">
        <v>12</v>
      </c>
      <c r="D40" s="3">
        <v>67.0</v>
      </c>
      <c r="E40" s="5">
        <f>IFERROR(__xludf.DUMMYFUNCTION("IF(B40="""", 0, COUNTA(SPLIT(TRIM(B40), "" "")))"),14.0)</f>
        <v>14</v>
      </c>
      <c r="F40" s="5">
        <f>IFERROR(__xludf.DUMMYFUNCTION("IF(C40="""", 0, COUNTA(SPLIT(TRIM(C40), "" "")))"),1.0)</f>
        <v>1</v>
      </c>
    </row>
    <row r="41">
      <c r="A41" s="4">
        <v>40.0</v>
      </c>
      <c r="B41" s="2" t="s">
        <v>126</v>
      </c>
      <c r="C41" s="3" t="s">
        <v>10</v>
      </c>
      <c r="D41" s="3">
        <v>20.0</v>
      </c>
      <c r="E41" s="5">
        <f>IFERROR(__xludf.DUMMYFUNCTION("IF(B41="""", 0, COUNTA(SPLIT(TRIM(B41), "" "")))"),30.0)</f>
        <v>30</v>
      </c>
      <c r="F41" s="5">
        <f>IFERROR(__xludf.DUMMYFUNCTION("IF(C41="""", 0, COUNTA(SPLIT(TRIM(C41), "" "")))"),1.0)</f>
        <v>1</v>
      </c>
    </row>
    <row r="42">
      <c r="A42" s="4">
        <v>41.0</v>
      </c>
      <c r="B42" s="27" t="s">
        <v>31</v>
      </c>
      <c r="C42" s="3" t="s">
        <v>12</v>
      </c>
      <c r="D42" s="3">
        <v>14.0</v>
      </c>
      <c r="E42" s="5">
        <f>IFERROR(__xludf.DUMMYFUNCTION("IF(B42="""", 0, COUNTA(SPLIT(TRIM(B42), "" "")))"),7.0)</f>
        <v>7</v>
      </c>
      <c r="F42" s="5">
        <f>IFERROR(__xludf.DUMMYFUNCTION("IF(C42="""", 0, COUNTA(SPLIT(TRIM(C42), "" "")))"),1.0)</f>
        <v>1</v>
      </c>
    </row>
    <row r="43">
      <c r="A43" s="4">
        <v>42.0</v>
      </c>
      <c r="B43" s="2" t="s">
        <v>53</v>
      </c>
      <c r="C43" s="3" t="s">
        <v>10</v>
      </c>
      <c r="D43" s="3">
        <v>19.0</v>
      </c>
      <c r="E43" s="5">
        <f>IFERROR(__xludf.DUMMYFUNCTION("IF(B43="""", 0, COUNTA(SPLIT(TRIM(B43), "" "")))"),20.0)</f>
        <v>20</v>
      </c>
      <c r="F43" s="5">
        <f>IFERROR(__xludf.DUMMYFUNCTION("IF(C43="""", 0, COUNTA(SPLIT(TRIM(C43), "" "")))"),1.0)</f>
        <v>1</v>
      </c>
    </row>
    <row r="44">
      <c r="A44" s="4">
        <v>43.0</v>
      </c>
      <c r="B44" s="2" t="s">
        <v>72</v>
      </c>
      <c r="C44" s="3" t="s">
        <v>10</v>
      </c>
      <c r="D44" s="3">
        <v>3.0</v>
      </c>
      <c r="E44" s="5">
        <f>IFERROR(__xludf.DUMMYFUNCTION("IF(B44="""", 0, COUNTA(SPLIT(TRIM(B44), "" "")))"),22.0)</f>
        <v>22</v>
      </c>
      <c r="F44" s="5">
        <f>IFERROR(__xludf.DUMMYFUNCTION("IF(C44="""", 0, COUNTA(SPLIT(TRIM(C44), "" "")))"),1.0)</f>
        <v>1</v>
      </c>
    </row>
    <row r="45">
      <c r="A45" s="4">
        <v>44.0</v>
      </c>
      <c r="B45" s="2" t="s">
        <v>89</v>
      </c>
      <c r="C45" s="3" t="s">
        <v>12</v>
      </c>
      <c r="D45" s="3">
        <v>47.0</v>
      </c>
      <c r="E45" s="5">
        <f>IFERROR(__xludf.DUMMYFUNCTION("IF(B45="""", 0, COUNTA(SPLIT(TRIM(B45), "" "")))"),14.0)</f>
        <v>14</v>
      </c>
      <c r="F45" s="5">
        <f>IFERROR(__xludf.DUMMYFUNCTION("IF(C45="""", 0, COUNTA(SPLIT(TRIM(C45), "" "")))"),1.0)</f>
        <v>1</v>
      </c>
    </row>
    <row r="46">
      <c r="A46" s="4">
        <v>45.0</v>
      </c>
      <c r="B46" s="2" t="s">
        <v>144</v>
      </c>
      <c r="C46" s="3" t="s">
        <v>12</v>
      </c>
      <c r="D46" s="3">
        <v>27.0</v>
      </c>
      <c r="E46" s="5">
        <f>IFERROR(__xludf.DUMMYFUNCTION("IF(B46="""", 0, COUNTA(SPLIT(TRIM(B46), "" "")))"),30.0)</f>
        <v>30</v>
      </c>
      <c r="F46" s="5">
        <f>IFERROR(__xludf.DUMMYFUNCTION("IF(C46="""", 0, COUNTA(SPLIT(TRIM(C46), "" "")))"),1.0)</f>
        <v>1</v>
      </c>
    </row>
    <row r="47">
      <c r="A47" s="4">
        <v>46.0</v>
      </c>
      <c r="B47" s="2" t="s">
        <v>131</v>
      </c>
      <c r="C47" s="3" t="s">
        <v>10</v>
      </c>
      <c r="D47" s="3">
        <v>12.0</v>
      </c>
      <c r="E47" s="5">
        <f>IFERROR(__xludf.DUMMYFUNCTION("IF(B47="""", 0, COUNTA(SPLIT(TRIM(B47), "" "")))"),23.0)</f>
        <v>23</v>
      </c>
      <c r="F47" s="5">
        <f>IFERROR(__xludf.DUMMYFUNCTION("IF(C47="""", 0, COUNTA(SPLIT(TRIM(C47), "" "")))"),1.0)</f>
        <v>1</v>
      </c>
    </row>
    <row r="48">
      <c r="A48" s="4">
        <v>47.0</v>
      </c>
      <c r="B48" s="2" t="s">
        <v>149</v>
      </c>
      <c r="C48" s="3" t="s">
        <v>12</v>
      </c>
      <c r="D48" s="3">
        <v>89.0</v>
      </c>
      <c r="E48" s="5">
        <f>IFERROR(__xludf.DUMMYFUNCTION("IF(B48="""", 0, COUNTA(SPLIT(TRIM(B48), "" "")))"),9.0)</f>
        <v>9</v>
      </c>
      <c r="F48" s="5">
        <f>IFERROR(__xludf.DUMMYFUNCTION("IF(C48="""", 0, COUNTA(SPLIT(TRIM(C48), "" "")))"),1.0)</f>
        <v>1</v>
      </c>
    </row>
    <row r="49">
      <c r="A49" s="4">
        <v>48.0</v>
      </c>
      <c r="B49" s="2" t="s">
        <v>155</v>
      </c>
      <c r="C49" s="3" t="s">
        <v>12</v>
      </c>
      <c r="D49" s="3">
        <v>81.0</v>
      </c>
      <c r="E49" s="5">
        <f>IFERROR(__xludf.DUMMYFUNCTION("IF(B49="""", 0, COUNTA(SPLIT(TRIM(B49), "" "")))"),20.0)</f>
        <v>20</v>
      </c>
      <c r="F49" s="5">
        <f>IFERROR(__xludf.DUMMYFUNCTION("IF(C49="""", 0, COUNTA(SPLIT(TRIM(C49), "" "")))"),1.0)</f>
        <v>1</v>
      </c>
    </row>
    <row r="50">
      <c r="A50" s="4">
        <v>49.0</v>
      </c>
      <c r="B50" s="2" t="s">
        <v>156</v>
      </c>
      <c r="C50" s="3" t="s">
        <v>12</v>
      </c>
      <c r="D50" s="3">
        <v>73.0</v>
      </c>
      <c r="E50" s="5">
        <f>IFERROR(__xludf.DUMMYFUNCTION("IF(B50="""", 0, COUNTA(SPLIT(TRIM(B50), "" "")))"),21.0)</f>
        <v>21</v>
      </c>
      <c r="F50" s="5">
        <f>IFERROR(__xludf.DUMMYFUNCTION("IF(C50="""", 0, COUNTA(SPLIT(TRIM(C50), "" "")))"),1.0)</f>
        <v>1</v>
      </c>
    </row>
    <row r="51">
      <c r="A51" s="4">
        <v>50.0</v>
      </c>
      <c r="B51" s="2" t="s">
        <v>161</v>
      </c>
      <c r="C51" s="3" t="s">
        <v>12</v>
      </c>
      <c r="D51" s="3">
        <v>22.0</v>
      </c>
      <c r="E51" s="5">
        <f>IFERROR(__xludf.DUMMYFUNCTION("IF(B51="""", 0, COUNTA(SPLIT(TRIM(B51), "" "")))"),19.0)</f>
        <v>19</v>
      </c>
      <c r="F51" s="5">
        <f>IFERROR(__xludf.DUMMYFUNCTION("IF(C51="""", 0, COUNTA(SPLIT(TRIM(C51), "" "")))"),1.0)</f>
        <v>1</v>
      </c>
    </row>
    <row r="52">
      <c r="A52" s="4">
        <v>51.0</v>
      </c>
      <c r="B52" s="27" t="s">
        <v>170</v>
      </c>
      <c r="C52" s="3" t="s">
        <v>12</v>
      </c>
      <c r="D52" s="3">
        <v>27.0</v>
      </c>
      <c r="E52" s="5">
        <f>IFERROR(__xludf.DUMMYFUNCTION("IF(B52="""", 0, COUNTA(SPLIT(TRIM(B52), "" "")))"),11.0)</f>
        <v>11</v>
      </c>
      <c r="F52" s="5">
        <f>IFERROR(__xludf.DUMMYFUNCTION("IF(C52="""", 0, COUNTA(SPLIT(TRIM(C52), "" "")))"),1.0)</f>
        <v>1</v>
      </c>
    </row>
    <row r="53">
      <c r="A53" s="4">
        <v>52.0</v>
      </c>
      <c r="B53" s="2" t="s">
        <v>178</v>
      </c>
      <c r="C53" s="3" t="s">
        <v>10</v>
      </c>
      <c r="D53" s="3">
        <v>28.0</v>
      </c>
      <c r="E53" s="5">
        <f>IFERROR(__xludf.DUMMYFUNCTION("IF(B53="""", 0, COUNTA(SPLIT(TRIM(B53), "" "")))"),17.0)</f>
        <v>17</v>
      </c>
      <c r="F53" s="5">
        <f>IFERROR(__xludf.DUMMYFUNCTION("IF(C53="""", 0, COUNTA(SPLIT(TRIM(C53), "" "")))"),1.0)</f>
        <v>1</v>
      </c>
    </row>
    <row r="54">
      <c r="A54" s="4">
        <v>53.0</v>
      </c>
      <c r="B54" s="2" t="s">
        <v>180</v>
      </c>
      <c r="C54" s="3" t="s">
        <v>12</v>
      </c>
      <c r="D54" s="3">
        <v>24.0</v>
      </c>
      <c r="E54" s="5">
        <f>IFERROR(__xludf.DUMMYFUNCTION("IF(B54="""", 0, COUNTA(SPLIT(TRIM(B54), "" "")))"),13.0)</f>
        <v>13</v>
      </c>
      <c r="F54" s="5">
        <f>IFERROR(__xludf.DUMMYFUNCTION("IF(C54="""", 0, COUNTA(SPLIT(TRIM(C54), "" "")))"),1.0)</f>
        <v>1</v>
      </c>
    </row>
    <row r="55">
      <c r="A55" s="4">
        <v>54.0</v>
      </c>
      <c r="B55" s="2" t="s">
        <v>183</v>
      </c>
      <c r="C55" s="3" t="s">
        <v>10</v>
      </c>
      <c r="D55" s="3">
        <v>57.0</v>
      </c>
      <c r="E55" s="5">
        <f>IFERROR(__xludf.DUMMYFUNCTION("IF(B55="""", 0, COUNTA(SPLIT(TRIM(B55), "" "")))"),14.0)</f>
        <v>14</v>
      </c>
      <c r="F55" s="5">
        <f>IFERROR(__xludf.DUMMYFUNCTION("IF(C55="""", 0, COUNTA(SPLIT(TRIM(C55), "" "")))"),1.0)</f>
        <v>1</v>
      </c>
    </row>
    <row r="56">
      <c r="A56" s="4">
        <v>55.0</v>
      </c>
      <c r="B56" s="2" t="s">
        <v>191</v>
      </c>
      <c r="C56" s="3" t="s">
        <v>10</v>
      </c>
      <c r="D56" s="3">
        <v>30.0</v>
      </c>
      <c r="E56" s="5">
        <f>IFERROR(__xludf.DUMMYFUNCTION("IF(B56="""", 0, COUNTA(SPLIT(TRIM(B56), "" "")))"),27.0)</f>
        <v>27</v>
      </c>
      <c r="F56" s="5">
        <f>IFERROR(__xludf.DUMMYFUNCTION("IF(C56="""", 0, COUNTA(SPLIT(TRIM(C56), "" "")))"),1.0)</f>
        <v>1</v>
      </c>
    </row>
    <row r="57">
      <c r="A57" s="4">
        <v>56.0</v>
      </c>
      <c r="B57" s="2" t="s">
        <v>32</v>
      </c>
      <c r="C57" s="3" t="s">
        <v>17</v>
      </c>
      <c r="D57" s="3">
        <v>84.0</v>
      </c>
      <c r="E57" s="5">
        <f>IFERROR(__xludf.DUMMYFUNCTION("IF(B57="""", 0, COUNTA(SPLIT(TRIM(B57), "" "")))"),67.0)</f>
        <v>67</v>
      </c>
      <c r="F57" s="5">
        <f>IFERROR(__xludf.DUMMYFUNCTION("IF(C57="""", 0, COUNTA(SPLIT(TRIM(C57), "" "")))"),1.0)</f>
        <v>1</v>
      </c>
    </row>
    <row r="58">
      <c r="A58" s="4">
        <v>57.0</v>
      </c>
      <c r="B58" s="2" t="s">
        <v>54</v>
      </c>
      <c r="C58" s="3" t="s">
        <v>17</v>
      </c>
      <c r="D58" s="3">
        <v>29.0</v>
      </c>
      <c r="E58" s="5">
        <f>IFERROR(__xludf.DUMMYFUNCTION("IF(B58="""", 0, COUNTA(SPLIT(TRIM(B58), "" "")))"),52.0)</f>
        <v>52</v>
      </c>
      <c r="F58" s="5">
        <f>IFERROR(__xludf.DUMMYFUNCTION("IF(C58="""", 0, COUNTA(SPLIT(TRIM(C58), "" "")))"),1.0)</f>
        <v>1</v>
      </c>
    </row>
    <row r="59">
      <c r="A59" s="4">
        <v>58.0</v>
      </c>
      <c r="B59" s="2" t="s">
        <v>74</v>
      </c>
      <c r="C59" s="3" t="s">
        <v>17</v>
      </c>
      <c r="D59" s="3">
        <v>13.0</v>
      </c>
      <c r="E59" s="5">
        <f>IFERROR(__xludf.DUMMYFUNCTION("IF(B59="""", 0, COUNTA(SPLIT(TRIM(B59), "" "")))"),17.0)</f>
        <v>17</v>
      </c>
      <c r="F59" s="5">
        <f>IFERROR(__xludf.DUMMYFUNCTION("IF(C59="""", 0, COUNTA(SPLIT(TRIM(C59), "" "")))"),1.0)</f>
        <v>1</v>
      </c>
    </row>
    <row r="60">
      <c r="A60" s="4">
        <v>59.0</v>
      </c>
      <c r="B60" s="2" t="s">
        <v>90</v>
      </c>
      <c r="C60" s="3" t="s">
        <v>17</v>
      </c>
      <c r="D60" s="3">
        <v>17.0</v>
      </c>
      <c r="E60" s="5">
        <f>IFERROR(__xludf.DUMMYFUNCTION("IF(B60="""", 0, COUNTA(SPLIT(TRIM(B60), "" "")))"),41.0)</f>
        <v>41</v>
      </c>
      <c r="F60" s="5">
        <f>IFERROR(__xludf.DUMMYFUNCTION("IF(C60="""", 0, COUNTA(SPLIT(TRIM(C60), "" "")))"),1.0)</f>
        <v>1</v>
      </c>
    </row>
    <row r="61">
      <c r="A61" s="4">
        <v>60.0</v>
      </c>
      <c r="B61" s="2" t="s">
        <v>211</v>
      </c>
      <c r="C61" s="3" t="s">
        <v>8</v>
      </c>
      <c r="D61" s="3">
        <v>17.0</v>
      </c>
      <c r="E61" s="5">
        <f>IFERROR(__xludf.DUMMYFUNCTION("IF(B61="""", 0, COUNTA(SPLIT(TRIM(B61), "" "")))"),124.0)</f>
        <v>124</v>
      </c>
      <c r="F61" s="5">
        <f>IFERROR(__xludf.DUMMYFUNCTION("IF(C61="""", 0, COUNTA(SPLIT(TRIM(C61), "" "")))"),1.0)</f>
        <v>1</v>
      </c>
    </row>
    <row r="62">
      <c r="A62" s="4">
        <v>61.0</v>
      </c>
      <c r="B62" s="2" t="s">
        <v>132</v>
      </c>
      <c r="C62" s="3" t="s">
        <v>8</v>
      </c>
      <c r="D62" s="3">
        <v>12.0</v>
      </c>
      <c r="E62" s="5">
        <f>IFERROR(__xludf.DUMMYFUNCTION("IF(B62="""", 0, COUNTA(SPLIT(TRIM(B62), "" "")))"),36.0)</f>
        <v>36</v>
      </c>
      <c r="F62" s="5">
        <f>IFERROR(__xludf.DUMMYFUNCTION("IF(C62="""", 0, COUNTA(SPLIT(TRIM(C62), "" "")))"),1.0)</f>
        <v>1</v>
      </c>
    </row>
    <row r="63">
      <c r="A63" s="4">
        <v>62.0</v>
      </c>
      <c r="B63" s="2" t="s">
        <v>231</v>
      </c>
      <c r="C63" s="3" t="s">
        <v>56</v>
      </c>
      <c r="D63" s="3">
        <v>20.0</v>
      </c>
      <c r="E63" s="5">
        <f>IFERROR(__xludf.DUMMYFUNCTION("IF(B63="""", 0, COUNTA(SPLIT(TRIM(B63), "" "")))"),91.0)</f>
        <v>91</v>
      </c>
      <c r="F63" s="5">
        <f>IFERROR(__xludf.DUMMYFUNCTION("IF(C63="""", 0, COUNTA(SPLIT(TRIM(C63), "" "")))"),1.0)</f>
        <v>1</v>
      </c>
    </row>
    <row r="64">
      <c r="A64" s="4">
        <v>63.0</v>
      </c>
      <c r="B64" s="2" t="s">
        <v>159</v>
      </c>
      <c r="C64" s="3" t="s">
        <v>35</v>
      </c>
      <c r="D64" s="3">
        <v>19.0</v>
      </c>
      <c r="E64" s="5">
        <f>IFERROR(__xludf.DUMMYFUNCTION("IF(B64="""", 0, COUNTA(SPLIT(TRIM(B64), "" "")))"),31.0)</f>
        <v>31</v>
      </c>
      <c r="F64" s="5">
        <f>IFERROR(__xludf.DUMMYFUNCTION("IF(C64="""", 0, COUNTA(SPLIT(TRIM(C64), "" "")))"),1.0)</f>
        <v>1</v>
      </c>
    </row>
    <row r="65">
      <c r="A65" s="4">
        <v>64.0</v>
      </c>
      <c r="B65" s="2" t="s">
        <v>181</v>
      </c>
      <c r="C65" s="3" t="s">
        <v>17</v>
      </c>
      <c r="D65" s="3">
        <v>61.0</v>
      </c>
      <c r="E65" s="5">
        <f>IFERROR(__xludf.DUMMYFUNCTION("IF(B65="""", 0, COUNTA(SPLIT(TRIM(B65), "" "")))"),33.0)</f>
        <v>33</v>
      </c>
      <c r="F65" s="5">
        <f>IFERROR(__xludf.DUMMYFUNCTION("IF(C65="""", 0, COUNTA(SPLIT(TRIM(C65), "" "")))"),1.0)</f>
        <v>1</v>
      </c>
    </row>
    <row r="66">
      <c r="A66" s="4">
        <v>65.0</v>
      </c>
      <c r="B66" s="2" t="s">
        <v>245</v>
      </c>
      <c r="C66" s="3" t="s">
        <v>56</v>
      </c>
      <c r="D66" s="3">
        <v>43.0</v>
      </c>
      <c r="E66" s="5">
        <f>IFERROR(__xludf.DUMMYFUNCTION("IF(B66="""", 0, COUNTA(SPLIT(TRIM(B66), "" "")))"),34.0)</f>
        <v>34</v>
      </c>
      <c r="F66" s="5">
        <f>IFERROR(__xludf.DUMMYFUNCTION("IF(C66="""", 0, COUNTA(SPLIT(TRIM(C66), "" "")))"),1.0)</f>
        <v>1</v>
      </c>
    </row>
    <row r="67">
      <c r="A67" s="4">
        <v>66.0</v>
      </c>
      <c r="B67" s="2" t="s">
        <v>212</v>
      </c>
      <c r="C67" s="3" t="s">
        <v>8</v>
      </c>
      <c r="D67" s="3">
        <v>32.0</v>
      </c>
      <c r="E67" s="5">
        <f>IFERROR(__xludf.DUMMYFUNCTION("IF(B67="""", 0, COUNTA(SPLIT(TRIM(B67), "" "")))"),15.0)</f>
        <v>15</v>
      </c>
      <c r="F67" s="5">
        <f>IFERROR(__xludf.DUMMYFUNCTION("IF(C67="""", 0, COUNTA(SPLIT(TRIM(C67), "" "")))"),1.0)</f>
        <v>1</v>
      </c>
    </row>
    <row r="68">
      <c r="A68" s="4">
        <v>67.0</v>
      </c>
      <c r="B68" s="2" t="s">
        <v>232</v>
      </c>
      <c r="C68" s="3" t="s">
        <v>17</v>
      </c>
      <c r="D68" s="3">
        <v>27.0</v>
      </c>
      <c r="E68" s="5">
        <f>IFERROR(__xludf.DUMMYFUNCTION("IF(B68="""", 0, COUNTA(SPLIT(TRIM(B68), "" "")))"),21.0)</f>
        <v>21</v>
      </c>
      <c r="F68" s="5">
        <f>IFERROR(__xludf.DUMMYFUNCTION("IF(C68="""", 0, COUNTA(SPLIT(TRIM(C68), "" "")))"),1.0)</f>
        <v>1</v>
      </c>
    </row>
    <row r="69">
      <c r="A69" s="4">
        <v>68.0</v>
      </c>
      <c r="B69" s="2" t="s">
        <v>246</v>
      </c>
      <c r="C69" s="3" t="s">
        <v>56</v>
      </c>
      <c r="D69" s="3">
        <v>8.0</v>
      </c>
      <c r="E69" s="5">
        <f>IFERROR(__xludf.DUMMYFUNCTION("IF(B69="""", 0, COUNTA(SPLIT(TRIM(B69), "" "")))"),23.0)</f>
        <v>23</v>
      </c>
      <c r="F69" s="5">
        <f>IFERROR(__xludf.DUMMYFUNCTION("IF(C69="""", 0, COUNTA(SPLIT(TRIM(C69), "" "")))"),1.0)</f>
        <v>1</v>
      </c>
    </row>
    <row r="70">
      <c r="A70" s="4">
        <v>69.0</v>
      </c>
      <c r="B70" s="2" t="s">
        <v>258</v>
      </c>
      <c r="C70" s="3" t="s">
        <v>56</v>
      </c>
      <c r="D70" s="3">
        <v>34.0</v>
      </c>
      <c r="E70" s="5">
        <f>IFERROR(__xludf.DUMMYFUNCTION("IF(B70="""", 0, COUNTA(SPLIT(TRIM(B70), "" "")))"),38.0)</f>
        <v>38</v>
      </c>
      <c r="F70" s="5">
        <f>IFERROR(__xludf.DUMMYFUNCTION("IF(C70="""", 0, COUNTA(SPLIT(TRIM(C70), "" "")))"),1.0)</f>
        <v>1</v>
      </c>
    </row>
    <row r="71">
      <c r="A71" s="4">
        <v>70.0</v>
      </c>
      <c r="B71" s="2" t="s">
        <v>259</v>
      </c>
      <c r="C71" s="3" t="s">
        <v>56</v>
      </c>
      <c r="D71" s="3">
        <v>77.0</v>
      </c>
      <c r="E71" s="5">
        <f>IFERROR(__xludf.DUMMYFUNCTION("IF(B71="""", 0, COUNTA(SPLIT(TRIM(B71), "" "")))"),20.0)</f>
        <v>20</v>
      </c>
      <c r="F71" s="5">
        <f>IFERROR(__xludf.DUMMYFUNCTION("IF(C71="""", 0, COUNTA(SPLIT(TRIM(C71), "" "")))"),1.0)</f>
        <v>1</v>
      </c>
    </row>
    <row r="72">
      <c r="A72" s="4">
        <v>71.0</v>
      </c>
      <c r="B72" s="2" t="s">
        <v>265</v>
      </c>
      <c r="C72" s="3" t="s">
        <v>35</v>
      </c>
      <c r="D72" s="3">
        <v>30.0</v>
      </c>
      <c r="E72" s="5">
        <f>IFERROR(__xludf.DUMMYFUNCTION("IF(B72="""", 0, COUNTA(SPLIT(TRIM(B72), "" "")))"),48.0)</f>
        <v>48</v>
      </c>
      <c r="F72" s="5">
        <f>IFERROR(__xludf.DUMMYFUNCTION("IF(C72="""", 0, COUNTA(SPLIT(TRIM(C72), "" "")))"),1.0)</f>
        <v>1</v>
      </c>
    </row>
    <row r="73">
      <c r="A73" s="4">
        <v>72.0</v>
      </c>
      <c r="B73" s="2" t="s">
        <v>34</v>
      </c>
      <c r="C73" s="3" t="s">
        <v>35</v>
      </c>
      <c r="D73" s="3">
        <v>64.0</v>
      </c>
      <c r="E73" s="5">
        <f>IFERROR(__xludf.DUMMYFUNCTION("IF(B73="""", 0, COUNTA(SPLIT(TRIM(B73), "" "")))"),99.0)</f>
        <v>99</v>
      </c>
      <c r="F73" s="5">
        <f>IFERROR(__xludf.DUMMYFUNCTION("IF(C73="""", 0, COUNTA(SPLIT(TRIM(C73), "" "")))"),1.0)</f>
        <v>1</v>
      </c>
    </row>
    <row r="74">
      <c r="A74" s="4">
        <v>73.0</v>
      </c>
      <c r="B74" s="2" t="s">
        <v>55</v>
      </c>
      <c r="C74" s="3" t="s">
        <v>56</v>
      </c>
      <c r="D74" s="3">
        <v>49.0</v>
      </c>
      <c r="E74" s="5">
        <f>IFERROR(__xludf.DUMMYFUNCTION("IF(B74="""", 0, COUNTA(SPLIT(TRIM(B74), "" "")))"),30.0)</f>
        <v>30</v>
      </c>
      <c r="F74" s="5">
        <f>IFERROR(__xludf.DUMMYFUNCTION("IF(C74="""", 0, COUNTA(SPLIT(TRIM(C74), "" "")))"),1.0)</f>
        <v>1</v>
      </c>
    </row>
    <row r="75">
      <c r="A75" s="4">
        <v>74.0</v>
      </c>
      <c r="B75" s="2" t="s">
        <v>75</v>
      </c>
      <c r="C75" s="3" t="s">
        <v>8</v>
      </c>
      <c r="D75" s="3">
        <v>13.0</v>
      </c>
      <c r="E75" s="5">
        <f>IFERROR(__xludf.DUMMYFUNCTION("IF(B75="""", 0, COUNTA(SPLIT(TRIM(B75), "" "")))"),14.0)</f>
        <v>14</v>
      </c>
      <c r="F75" s="5">
        <f>IFERROR(__xludf.DUMMYFUNCTION("IF(C75="""", 0, COUNTA(SPLIT(TRIM(C75), "" "")))"),1.0)</f>
        <v>1</v>
      </c>
    </row>
    <row r="76">
      <c r="A76" s="4">
        <v>75.0</v>
      </c>
      <c r="B76" s="2" t="s">
        <v>91</v>
      </c>
      <c r="C76" s="3" t="s">
        <v>8</v>
      </c>
      <c r="D76" s="3">
        <v>37.0</v>
      </c>
      <c r="E76" s="5">
        <f>IFERROR(__xludf.DUMMYFUNCTION("IF(B76="""", 0, COUNTA(SPLIT(TRIM(B76), "" "")))"),19.0)</f>
        <v>19</v>
      </c>
      <c r="F76" s="5">
        <f>IFERROR(__xludf.DUMMYFUNCTION("IF(C76="""", 0, COUNTA(SPLIT(TRIM(C76), "" "")))"),1.0)</f>
        <v>1</v>
      </c>
    </row>
    <row r="77">
      <c r="A77" s="4">
        <v>76.0</v>
      </c>
      <c r="B77" s="2" t="s">
        <v>284</v>
      </c>
      <c r="C77" s="3" t="s">
        <v>8</v>
      </c>
      <c r="D77" s="3">
        <v>7.0</v>
      </c>
      <c r="E77" s="5">
        <f>IFERROR(__xludf.DUMMYFUNCTION("IF(B77="""", 0, COUNTA(SPLIT(TRIM(B77), "" "")))"),100.0)</f>
        <v>100</v>
      </c>
      <c r="F77" s="5">
        <f>IFERROR(__xludf.DUMMYFUNCTION("IF(C77="""", 0, COUNTA(SPLIT(TRIM(C77), "" "")))"),1.0)</f>
        <v>1</v>
      </c>
    </row>
    <row r="78">
      <c r="A78" s="4">
        <v>77.0</v>
      </c>
      <c r="B78" s="2" t="s">
        <v>133</v>
      </c>
      <c r="C78" s="3" t="s">
        <v>17</v>
      </c>
      <c r="D78" s="3">
        <v>22.0</v>
      </c>
      <c r="E78" s="5">
        <f>IFERROR(__xludf.DUMMYFUNCTION("IF(B78="""", 0, COUNTA(SPLIT(TRIM(B78), "" "")))"),46.0)</f>
        <v>46</v>
      </c>
      <c r="F78" s="5">
        <f>IFERROR(__xludf.DUMMYFUNCTION("IF(C78="""", 0, COUNTA(SPLIT(TRIM(C78), "" "")))"),1.0)</f>
        <v>1</v>
      </c>
    </row>
    <row r="79">
      <c r="A79" s="4">
        <v>78.0</v>
      </c>
      <c r="B79" s="2" t="s">
        <v>292</v>
      </c>
      <c r="C79" s="3" t="s">
        <v>147</v>
      </c>
      <c r="D79" s="3">
        <v>20.0</v>
      </c>
      <c r="E79" s="5">
        <f>IFERROR(__xludf.DUMMYFUNCTION("IF(B79="""", 0, COUNTA(SPLIT(TRIM(B79), "" "")))"),59.0)</f>
        <v>59</v>
      </c>
      <c r="F79" s="5">
        <f>IFERROR(__xludf.DUMMYFUNCTION("IF(C79="""", 0, COUNTA(SPLIT(TRIM(C79), "" "")))"),1.0)</f>
        <v>1</v>
      </c>
    </row>
    <row r="80">
      <c r="A80" s="4">
        <v>79.0</v>
      </c>
      <c r="B80" s="2" t="s">
        <v>299</v>
      </c>
      <c r="C80" s="3" t="s">
        <v>17</v>
      </c>
      <c r="D80" s="3">
        <v>19.0</v>
      </c>
      <c r="E80" s="5">
        <f>IFERROR(__xludf.DUMMYFUNCTION("IF(B80="""", 0, COUNTA(SPLIT(TRIM(B80), "" "")))"),30.0)</f>
        <v>30</v>
      </c>
      <c r="F80" s="5">
        <f>IFERROR(__xludf.DUMMYFUNCTION("IF(C80="""", 0, COUNTA(SPLIT(TRIM(C80), "" "")))"),1.0)</f>
        <v>1</v>
      </c>
    </row>
    <row r="81">
      <c r="A81" s="4">
        <v>80.0</v>
      </c>
      <c r="B81" s="2" t="s">
        <v>182</v>
      </c>
      <c r="C81" s="3" t="s">
        <v>35</v>
      </c>
      <c r="D81" s="3">
        <v>21.0</v>
      </c>
      <c r="E81" s="5">
        <f>IFERROR(__xludf.DUMMYFUNCTION("IF(B81="""", 0, COUNTA(SPLIT(TRIM(B81), "" "")))"),28.0)</f>
        <v>28</v>
      </c>
      <c r="F81" s="5">
        <f>IFERROR(__xludf.DUMMYFUNCTION("IF(C81="""", 0, COUNTA(SPLIT(TRIM(C81), "" "")))"),1.0)</f>
        <v>1</v>
      </c>
    </row>
    <row r="82">
      <c r="A82" s="4">
        <v>81.0</v>
      </c>
      <c r="B82" s="2" t="s">
        <v>310</v>
      </c>
      <c r="C82" s="3" t="s">
        <v>17</v>
      </c>
      <c r="D82" s="3">
        <v>3.0</v>
      </c>
      <c r="E82" s="5">
        <f>IFERROR(__xludf.DUMMYFUNCTION("IF(B82="""", 0, COUNTA(SPLIT(TRIM(B82), "" "")))"),33.0)</f>
        <v>33</v>
      </c>
      <c r="F82" s="5">
        <f>IFERROR(__xludf.DUMMYFUNCTION("IF(C82="""", 0, COUNTA(SPLIT(TRIM(C82), "" "")))"),1.0)</f>
        <v>1</v>
      </c>
    </row>
    <row r="83">
      <c r="A83" s="4">
        <v>82.0</v>
      </c>
      <c r="B83" s="2" t="s">
        <v>214</v>
      </c>
      <c r="C83" s="3" t="s">
        <v>56</v>
      </c>
      <c r="D83" s="3">
        <v>42.0</v>
      </c>
      <c r="E83" s="5">
        <f>IFERROR(__xludf.DUMMYFUNCTION("IF(B83="""", 0, COUNTA(SPLIT(TRIM(B83), "" "")))"),17.0)</f>
        <v>17</v>
      </c>
      <c r="F83" s="5">
        <f>IFERROR(__xludf.DUMMYFUNCTION("IF(C83="""", 0, COUNTA(SPLIT(TRIM(C83), "" "")))"),1.0)</f>
        <v>1</v>
      </c>
    </row>
    <row r="84">
      <c r="A84" s="4">
        <v>83.0</v>
      </c>
      <c r="B84" s="2" t="s">
        <v>233</v>
      </c>
      <c r="C84" s="3" t="s">
        <v>8</v>
      </c>
      <c r="D84" s="3">
        <v>37.0</v>
      </c>
      <c r="E84" s="5">
        <f>IFERROR(__xludf.DUMMYFUNCTION("IF(B84="""", 0, COUNTA(SPLIT(TRIM(B84), "" "")))"),17.0)</f>
        <v>17</v>
      </c>
      <c r="F84" s="5">
        <f>IFERROR(__xludf.DUMMYFUNCTION("IF(C84="""", 0, COUNTA(SPLIT(TRIM(C84), "" "")))"),1.0)</f>
        <v>1</v>
      </c>
    </row>
    <row r="85">
      <c r="A85" s="4">
        <v>84.0</v>
      </c>
      <c r="B85" s="2" t="s">
        <v>247</v>
      </c>
      <c r="C85" s="3" t="s">
        <v>17</v>
      </c>
      <c r="D85" s="3">
        <v>48.0</v>
      </c>
      <c r="E85" s="5">
        <f>IFERROR(__xludf.DUMMYFUNCTION("IF(B85="""", 0, COUNTA(SPLIT(TRIM(B85), "" "")))"),22.0)</f>
        <v>22</v>
      </c>
      <c r="F85" s="5">
        <f>IFERROR(__xludf.DUMMYFUNCTION("IF(C85="""", 0, COUNTA(SPLIT(TRIM(C85), "" "")))"),1.0)</f>
        <v>1</v>
      </c>
    </row>
    <row r="86">
      <c r="A86" s="16">
        <v>85.0</v>
      </c>
      <c r="B86" s="24" t="s">
        <v>324</v>
      </c>
      <c r="C86" s="3" t="s">
        <v>35</v>
      </c>
      <c r="D86" s="3">
        <v>34.0</v>
      </c>
      <c r="E86" s="5">
        <f>IFERROR(__xludf.DUMMYFUNCTION("IF(B86="""", 0, COUNTA(SPLIT(TRIM(B86), "" "")))"),18.0)</f>
        <v>18</v>
      </c>
      <c r="F86" s="5">
        <f>IFERROR(__xludf.DUMMYFUNCTION("IF(C86="""", 0, COUNTA(SPLIT(TRIM(C86), "" "")))"),1.0)</f>
        <v>1</v>
      </c>
    </row>
    <row r="87">
      <c r="A87" s="4">
        <v>86.0</v>
      </c>
      <c r="B87" s="2" t="s">
        <v>273</v>
      </c>
      <c r="C87" s="3" t="s">
        <v>17</v>
      </c>
      <c r="D87" s="3">
        <v>87.0</v>
      </c>
      <c r="E87" s="5">
        <f>IFERROR(__xludf.DUMMYFUNCTION("IF(B87="""", 0, COUNTA(SPLIT(TRIM(B87), "" "")))"),23.0)</f>
        <v>23</v>
      </c>
      <c r="F87" s="5">
        <f>IFERROR(__xludf.DUMMYFUNCTION("IF(C87="""", 0, COUNTA(SPLIT(TRIM(C87), "" "")))"),1.0)</f>
        <v>1</v>
      </c>
    </row>
    <row r="88">
      <c r="A88" s="4">
        <v>87.0</v>
      </c>
      <c r="B88" s="2" t="s">
        <v>326</v>
      </c>
      <c r="C88" s="3" t="s">
        <v>56</v>
      </c>
      <c r="D88" s="3">
        <v>50.0</v>
      </c>
      <c r="E88" s="5">
        <f>IFERROR(__xludf.DUMMYFUNCTION("IF(B88="""", 0, COUNTA(SPLIT(TRIM(B88), "" "")))"),68.0)</f>
        <v>68</v>
      </c>
      <c r="F88" s="5">
        <f>IFERROR(__xludf.DUMMYFUNCTION("IF(C88="""", 0, COUNTA(SPLIT(TRIM(C88), "" "")))"),1.0)</f>
        <v>1</v>
      </c>
    </row>
    <row r="89">
      <c r="A89" s="4">
        <v>88.0</v>
      </c>
      <c r="B89" s="2" t="s">
        <v>36</v>
      </c>
      <c r="C89" s="3" t="s">
        <v>8</v>
      </c>
      <c r="D89" s="3">
        <v>44.0</v>
      </c>
      <c r="E89" s="5">
        <f>IFERROR(__xludf.DUMMYFUNCTION("IF(B89="""", 0, COUNTA(SPLIT(TRIM(B89), "" "")))"),20.0)</f>
        <v>20</v>
      </c>
      <c r="F89" s="5">
        <f>IFERROR(__xludf.DUMMYFUNCTION("IF(C89="""", 0, COUNTA(SPLIT(TRIM(C89), "" "")))"),1.0)</f>
        <v>1</v>
      </c>
    </row>
    <row r="90">
      <c r="A90" s="4">
        <v>89.0</v>
      </c>
      <c r="B90" s="2" t="s">
        <v>58</v>
      </c>
      <c r="C90" s="3" t="s">
        <v>56</v>
      </c>
      <c r="D90" s="3">
        <v>69.0</v>
      </c>
      <c r="E90" s="5">
        <f>IFERROR(__xludf.DUMMYFUNCTION("IF(B90="""", 0, COUNTA(SPLIT(TRIM(B90), "" "")))"),77.0)</f>
        <v>77</v>
      </c>
      <c r="F90" s="5">
        <f>IFERROR(__xludf.DUMMYFUNCTION("IF(C90="""", 0, COUNTA(SPLIT(TRIM(C90), "" "")))"),1.0)</f>
        <v>1</v>
      </c>
    </row>
    <row r="91">
      <c r="A91" s="4">
        <v>90.0</v>
      </c>
      <c r="B91" s="2" t="s">
        <v>76</v>
      </c>
      <c r="C91" s="3" t="s">
        <v>77</v>
      </c>
      <c r="D91" s="3">
        <v>13.0</v>
      </c>
      <c r="E91" s="5">
        <f>IFERROR(__xludf.DUMMYFUNCTION("IF(B91="""", 0, COUNTA(SPLIT(TRIM(B91), "" "")))"),72.0)</f>
        <v>72</v>
      </c>
      <c r="F91" s="5">
        <f>IFERROR(__xludf.DUMMYFUNCTION("IF(C91="""", 0, COUNTA(SPLIT(TRIM(C91), "" "")))"),1.0)</f>
        <v>1</v>
      </c>
    </row>
    <row r="92">
      <c r="A92" s="4">
        <v>91.0</v>
      </c>
      <c r="B92" s="2" t="s">
        <v>93</v>
      </c>
      <c r="C92" s="3" t="s">
        <v>56</v>
      </c>
      <c r="D92" s="3">
        <v>77.0</v>
      </c>
      <c r="E92" s="5">
        <f>IFERROR(__xludf.DUMMYFUNCTION("IF(B92="""", 0, COUNTA(SPLIT(TRIM(B92), "" "")))"),21.0)</f>
        <v>21</v>
      </c>
      <c r="F92" s="5">
        <f>IFERROR(__xludf.DUMMYFUNCTION("IF(C92="""", 0, COUNTA(SPLIT(TRIM(C92), "" "")))"),1.0)</f>
        <v>1</v>
      </c>
    </row>
    <row r="93">
      <c r="A93" s="4">
        <v>92.0</v>
      </c>
      <c r="B93" s="2" t="s">
        <v>348</v>
      </c>
      <c r="C93" s="3" t="s">
        <v>56</v>
      </c>
      <c r="D93" s="3">
        <v>37.0</v>
      </c>
      <c r="E93" s="5">
        <f>IFERROR(__xludf.DUMMYFUNCTION("IF(B93="""", 0, COUNTA(SPLIT(TRIM(B93), "" "")))"),84.0)</f>
        <v>84</v>
      </c>
      <c r="F93" s="5">
        <f>IFERROR(__xludf.DUMMYFUNCTION("IF(C93="""", 0, COUNTA(SPLIT(TRIM(C93), "" "")))"),1.0)</f>
        <v>1</v>
      </c>
    </row>
    <row r="94">
      <c r="A94" s="4">
        <v>93.0</v>
      </c>
      <c r="B94" s="2" t="s">
        <v>134</v>
      </c>
      <c r="C94" s="3" t="s">
        <v>56</v>
      </c>
      <c r="D94" s="3">
        <v>22.0</v>
      </c>
      <c r="E94" s="5">
        <f>IFERROR(__xludf.DUMMYFUNCTION("IF(B94="""", 0, COUNTA(SPLIT(TRIM(B94), "" "")))"),41.0)</f>
        <v>41</v>
      </c>
      <c r="F94" s="5">
        <f>IFERROR(__xludf.DUMMYFUNCTION("IF(C94="""", 0, COUNTA(SPLIT(TRIM(C94), "" "")))"),1.0)</f>
        <v>1</v>
      </c>
    </row>
    <row r="95">
      <c r="A95" s="4">
        <v>94.0</v>
      </c>
      <c r="B95" s="2" t="s">
        <v>358</v>
      </c>
      <c r="C95" s="3" t="s">
        <v>35</v>
      </c>
      <c r="D95" s="3">
        <v>29.0</v>
      </c>
      <c r="E95" s="5">
        <f>IFERROR(__xludf.DUMMYFUNCTION("IF(B95="""", 0, COUNTA(SPLIT(TRIM(B95), "" "")))"),31.0)</f>
        <v>31</v>
      </c>
      <c r="F95" s="5">
        <f>IFERROR(__xludf.DUMMYFUNCTION("IF(C95="""", 0, COUNTA(SPLIT(TRIM(C95), "" "")))"),1.0)</f>
        <v>1</v>
      </c>
    </row>
    <row r="96">
      <c r="A96" s="4">
        <v>95.0</v>
      </c>
      <c r="B96" s="2" t="s">
        <v>184</v>
      </c>
      <c r="C96" s="3" t="s">
        <v>8</v>
      </c>
      <c r="D96" s="3">
        <v>51.0</v>
      </c>
      <c r="E96" s="5">
        <f>IFERROR(__xludf.DUMMYFUNCTION("IF(B96="""", 0, COUNTA(SPLIT(TRIM(B96), "" "")))"),28.0)</f>
        <v>28</v>
      </c>
      <c r="F96" s="5">
        <f>IFERROR(__xludf.DUMMYFUNCTION("IF(C96="""", 0, COUNTA(SPLIT(TRIM(C96), "" "")))"),1.0)</f>
        <v>1</v>
      </c>
    </row>
    <row r="97">
      <c r="A97" s="4">
        <v>96.0</v>
      </c>
      <c r="B97" s="2" t="s">
        <v>364</v>
      </c>
      <c r="C97" s="3" t="s">
        <v>56</v>
      </c>
      <c r="D97" s="3">
        <v>23.0</v>
      </c>
      <c r="E97" s="5">
        <f>IFERROR(__xludf.DUMMYFUNCTION("IF(B97="""", 0, COUNTA(SPLIT(TRIM(B97), "" "")))"),46.0)</f>
        <v>46</v>
      </c>
      <c r="F97" s="5">
        <f>IFERROR(__xludf.DUMMYFUNCTION("IF(C97="""", 0, COUNTA(SPLIT(TRIM(C97), "" "")))"),1.0)</f>
        <v>1</v>
      </c>
    </row>
    <row r="98">
      <c r="A98" s="4">
        <v>97.0</v>
      </c>
      <c r="B98" s="2" t="s">
        <v>216</v>
      </c>
      <c r="C98" s="3" t="s">
        <v>56</v>
      </c>
      <c r="D98" s="3">
        <v>52.0</v>
      </c>
      <c r="E98" s="5">
        <f>IFERROR(__xludf.DUMMYFUNCTION("IF(B98="""", 0, COUNTA(SPLIT(TRIM(B98), "" "")))"),36.0)</f>
        <v>36</v>
      </c>
      <c r="F98" s="5">
        <f>IFERROR(__xludf.DUMMYFUNCTION("IF(C98="""", 0, COUNTA(SPLIT(TRIM(C98), "" "")))"),1.0)</f>
        <v>1</v>
      </c>
    </row>
    <row r="99">
      <c r="A99" s="4">
        <v>98.0</v>
      </c>
      <c r="B99" s="2" t="s">
        <v>234</v>
      </c>
      <c r="C99" s="3" t="s">
        <v>56</v>
      </c>
      <c r="D99" s="3">
        <v>97.0</v>
      </c>
      <c r="E99" s="5">
        <f>IFERROR(__xludf.DUMMYFUNCTION("IF(B99="""", 0, COUNTA(SPLIT(TRIM(B99), "" "")))"),20.0)</f>
        <v>20</v>
      </c>
      <c r="F99" s="5">
        <f>IFERROR(__xludf.DUMMYFUNCTION("IF(C99="""", 0, COUNTA(SPLIT(TRIM(C99), "" "")))"),1.0)</f>
        <v>1</v>
      </c>
    </row>
    <row r="100">
      <c r="A100" s="4">
        <v>99.0</v>
      </c>
      <c r="B100" s="2" t="s">
        <v>248</v>
      </c>
      <c r="C100" s="3" t="s">
        <v>8</v>
      </c>
      <c r="D100" s="3">
        <v>98.0</v>
      </c>
      <c r="E100" s="5">
        <f>IFERROR(__xludf.DUMMYFUNCTION("IF(B100="""", 0, COUNTA(SPLIT(TRIM(B100), "" "")))"),23.0)</f>
        <v>23</v>
      </c>
      <c r="F100" s="5">
        <f>IFERROR(__xludf.DUMMYFUNCTION("IF(C100="""", 0, COUNTA(SPLIT(TRIM(C100), "" "")))"),1.0)</f>
        <v>1</v>
      </c>
    </row>
    <row r="101">
      <c r="A101" s="4">
        <v>100.0</v>
      </c>
      <c r="B101" s="2" t="s">
        <v>378</v>
      </c>
      <c r="C101" s="3" t="s">
        <v>35</v>
      </c>
      <c r="D101" s="3">
        <v>44.0</v>
      </c>
      <c r="E101" s="5">
        <f>IFERROR(__xludf.DUMMYFUNCTION("IF(B101="""", 0, COUNTA(SPLIT(TRIM(B101), "" "")))"),27.0)</f>
        <v>27</v>
      </c>
      <c r="F101" s="5">
        <f>IFERROR(__xludf.DUMMYFUNCTION("IF(C101="""", 0, COUNTA(SPLIT(TRIM(C101), "" "")))"),1.0)</f>
        <v>1</v>
      </c>
    </row>
    <row r="102">
      <c r="A102" s="4">
        <v>101.0</v>
      </c>
      <c r="B102" s="2" t="s">
        <v>274</v>
      </c>
      <c r="C102" s="3" t="s">
        <v>56</v>
      </c>
      <c r="D102" s="3">
        <v>97.0</v>
      </c>
      <c r="E102" s="5">
        <f>IFERROR(__xludf.DUMMYFUNCTION("IF(B102="""", 0, COUNTA(SPLIT(TRIM(B102), "" "")))"),26.0)</f>
        <v>26</v>
      </c>
      <c r="F102" s="5">
        <f>IFERROR(__xludf.DUMMYFUNCTION("IF(C102="""", 0, COUNTA(SPLIT(TRIM(C102), "" "")))"),1.0)</f>
        <v>1</v>
      </c>
    </row>
    <row r="103">
      <c r="A103" s="4">
        <v>102.0</v>
      </c>
      <c r="B103" s="2" t="s">
        <v>388</v>
      </c>
      <c r="C103" s="3" t="s">
        <v>17</v>
      </c>
      <c r="D103" s="3">
        <v>90.0</v>
      </c>
      <c r="E103" s="5">
        <f>IFERROR(__xludf.DUMMYFUNCTION("IF(B103="""", 0, COUNTA(SPLIT(TRIM(B103), "" "")))"),59.0)</f>
        <v>59</v>
      </c>
      <c r="F103" s="5">
        <f>IFERROR(__xludf.DUMMYFUNCTION("IF(C103="""", 0, COUNTA(SPLIT(TRIM(C103), "" "")))"),1.0)</f>
        <v>1</v>
      </c>
    </row>
    <row r="104">
      <c r="A104" s="4">
        <v>103.0</v>
      </c>
      <c r="B104" s="2" t="s">
        <v>39</v>
      </c>
      <c r="C104" s="3">
        <v>199.0</v>
      </c>
      <c r="D104" s="3">
        <v>24.0</v>
      </c>
      <c r="E104" s="5">
        <f>IFERROR(__xludf.DUMMYFUNCTION("IF(B104="""", 0, COUNTA(SPLIT(TRIM(B104), "" "")))"),13.0)</f>
        <v>13</v>
      </c>
      <c r="F104" s="5">
        <f>IFERROR(__xludf.DUMMYFUNCTION("IF(C104="""", 0, COUNTA(SPLIT(TRIM(C104), "" "")))"),1.0)</f>
        <v>1</v>
      </c>
    </row>
    <row r="105">
      <c r="A105" s="4">
        <v>104.0</v>
      </c>
      <c r="B105" s="2" t="s">
        <v>59</v>
      </c>
      <c r="C105" s="3">
        <v>4600.0</v>
      </c>
      <c r="D105" s="3">
        <v>39.0</v>
      </c>
      <c r="E105" s="5">
        <f>IFERROR(__xludf.DUMMYFUNCTION("IF(B105="""", 0, COUNTA(SPLIT(TRIM(B105), "" "")))"),20.0)</f>
        <v>20</v>
      </c>
      <c r="F105" s="5">
        <f>IFERROR(__xludf.DUMMYFUNCTION("IF(C105="""", 0, COUNTA(SPLIT(TRIM(C105), "" "")))"),1.0)</f>
        <v>1</v>
      </c>
    </row>
    <row r="106">
      <c r="A106" s="4">
        <v>105.0</v>
      </c>
      <c r="B106" s="2" t="s">
        <v>78</v>
      </c>
      <c r="C106" s="3">
        <v>40.0</v>
      </c>
      <c r="D106" s="3">
        <v>23.0</v>
      </c>
      <c r="E106" s="5">
        <f>IFERROR(__xludf.DUMMYFUNCTION("IF(B106="""", 0, COUNTA(SPLIT(TRIM(B106), "" "")))"),17.0)</f>
        <v>17</v>
      </c>
      <c r="F106" s="5">
        <f>IFERROR(__xludf.DUMMYFUNCTION("IF(C106="""", 0, COUNTA(SPLIT(TRIM(C106), "" "")))"),1.0)</f>
        <v>1</v>
      </c>
    </row>
    <row r="107">
      <c r="A107" s="4">
        <v>106.0</v>
      </c>
      <c r="B107" s="2" t="s">
        <v>94</v>
      </c>
      <c r="C107" s="3">
        <v>50.0</v>
      </c>
      <c r="D107" s="3">
        <v>57.0</v>
      </c>
      <c r="E107" s="5">
        <f>IFERROR(__xludf.DUMMYFUNCTION("IF(B107="""", 0, COUNTA(SPLIT(TRIM(B107), "" "")))"),9.0)</f>
        <v>9</v>
      </c>
      <c r="F107" s="5">
        <f>IFERROR(__xludf.DUMMYFUNCTION("IF(C107="""", 0, COUNTA(SPLIT(TRIM(C107), "" "")))"),1.0)</f>
        <v>1</v>
      </c>
    </row>
    <row r="108">
      <c r="A108" s="4">
        <v>107.0</v>
      </c>
      <c r="B108" s="2" t="s">
        <v>116</v>
      </c>
      <c r="C108" s="3">
        <v>3600.0</v>
      </c>
      <c r="D108" s="3">
        <v>47.0</v>
      </c>
      <c r="E108" s="5">
        <f>IFERROR(__xludf.DUMMYFUNCTION("IF(B108="""", 0, COUNTA(SPLIT(TRIM(B108), "" "")))"),12.0)</f>
        <v>12</v>
      </c>
      <c r="F108" s="5">
        <f>IFERROR(__xludf.DUMMYFUNCTION("IF(C108="""", 0, COUNTA(SPLIT(TRIM(C108), "" "")))"),1.0)</f>
        <v>1</v>
      </c>
    </row>
    <row r="109">
      <c r="A109" s="4">
        <v>108.0</v>
      </c>
      <c r="B109" s="2" t="s">
        <v>135</v>
      </c>
      <c r="C109" s="3">
        <v>23.2</v>
      </c>
      <c r="D109" s="3">
        <v>32.0</v>
      </c>
      <c r="E109" s="5">
        <f>IFERROR(__xludf.DUMMYFUNCTION("IF(B109="""", 0, COUNTA(SPLIT(TRIM(B109), "" "")))"),23.0)</f>
        <v>23</v>
      </c>
      <c r="F109" s="5">
        <f>IFERROR(__xludf.DUMMYFUNCTION("IF(C109="""", 0, COUNTA(SPLIT(TRIM(C109), "" "")))"),1.0)</f>
        <v>1</v>
      </c>
    </row>
    <row r="110">
      <c r="A110" s="4">
        <v>109.0</v>
      </c>
      <c r="B110" s="2" t="s">
        <v>148</v>
      </c>
      <c r="C110" s="3">
        <v>5.0</v>
      </c>
      <c r="D110" s="3">
        <v>30.0</v>
      </c>
      <c r="E110" s="5">
        <f>IFERROR(__xludf.DUMMYFUNCTION("IF(B110="""", 0, COUNTA(SPLIT(TRIM(B110), "" "")))"),25.0)</f>
        <v>25</v>
      </c>
      <c r="F110" s="5">
        <f>IFERROR(__xludf.DUMMYFUNCTION("IF(C110="""", 0, COUNTA(SPLIT(TRIM(C110), "" "")))"),1.0)</f>
        <v>1</v>
      </c>
    </row>
    <row r="111">
      <c r="A111" s="4">
        <v>110.0</v>
      </c>
      <c r="B111" s="2" t="s">
        <v>165</v>
      </c>
      <c r="C111" s="3">
        <v>30.0</v>
      </c>
      <c r="D111" s="3">
        <v>39.0</v>
      </c>
      <c r="E111" s="5">
        <f>IFERROR(__xludf.DUMMYFUNCTION("IF(B111="""", 0, COUNTA(SPLIT(TRIM(B111), "" "")))"),20.0)</f>
        <v>20</v>
      </c>
      <c r="F111" s="5">
        <f>IFERROR(__xludf.DUMMYFUNCTION("IF(C111="""", 0, COUNTA(SPLIT(TRIM(C111), "" "")))"),1.0)</f>
        <v>1</v>
      </c>
    </row>
    <row r="112">
      <c r="A112" s="4">
        <v>111.0</v>
      </c>
      <c r="B112" s="2" t="s">
        <v>185</v>
      </c>
      <c r="C112" s="3">
        <v>1500.0</v>
      </c>
      <c r="D112" s="3">
        <v>11.0</v>
      </c>
      <c r="E112" s="5">
        <f>IFERROR(__xludf.DUMMYFUNCTION("IF(B112="""", 0, COUNTA(SPLIT(TRIM(B112), "" "")))"),39.0)</f>
        <v>39</v>
      </c>
      <c r="F112" s="5">
        <f>IFERROR(__xludf.DUMMYFUNCTION("IF(C112="""", 0, COUNTA(SPLIT(TRIM(C112), "" "")))"),1.0)</f>
        <v>1</v>
      </c>
    </row>
    <row r="113">
      <c r="A113" s="4">
        <v>112.0</v>
      </c>
      <c r="B113" s="2" t="s">
        <v>199</v>
      </c>
      <c r="C113" s="3">
        <v>12.0</v>
      </c>
      <c r="D113" s="3">
        <v>43.0</v>
      </c>
      <c r="E113" s="5">
        <f>IFERROR(__xludf.DUMMYFUNCTION("IF(B113="""", 0, COUNTA(SPLIT(TRIM(B113), "" "")))"),19.0)</f>
        <v>19</v>
      </c>
      <c r="F113" s="5">
        <f>IFERROR(__xludf.DUMMYFUNCTION("IF(C113="""", 0, COUNTA(SPLIT(TRIM(C113), "" "")))"),1.0)</f>
        <v>1</v>
      </c>
    </row>
    <row r="114">
      <c r="A114" s="4">
        <v>113.0</v>
      </c>
      <c r="B114" s="2" t="s">
        <v>218</v>
      </c>
      <c r="C114" s="3">
        <v>600.0</v>
      </c>
      <c r="D114" s="3">
        <v>62.0</v>
      </c>
      <c r="E114" s="5">
        <f>IFERROR(__xludf.DUMMYFUNCTION("IF(B114="""", 0, COUNTA(SPLIT(TRIM(B114), "" "")))"),18.0)</f>
        <v>18</v>
      </c>
      <c r="F114" s="5">
        <f>IFERROR(__xludf.DUMMYFUNCTION("IF(C114="""", 0, COUNTA(SPLIT(TRIM(C114), "" "")))"),1.0)</f>
        <v>1</v>
      </c>
    </row>
    <row r="115">
      <c r="A115" s="4">
        <v>114.0</v>
      </c>
      <c r="B115" s="2" t="s">
        <v>235</v>
      </c>
      <c r="C115" s="3">
        <v>3.0</v>
      </c>
      <c r="D115" s="3">
        <v>97.0</v>
      </c>
      <c r="E115" s="5">
        <f>IFERROR(__xludf.DUMMYFUNCTION("IF(B115="""", 0, COUNTA(SPLIT(TRIM(B115), "" "")))"),25.0)</f>
        <v>25</v>
      </c>
      <c r="F115" s="5">
        <f>IFERROR(__xludf.DUMMYFUNCTION("IF(C115="""", 0, COUNTA(SPLIT(TRIM(C115), "" "")))"),1.0)</f>
        <v>1</v>
      </c>
    </row>
    <row r="116">
      <c r="A116" s="4">
        <v>115.0</v>
      </c>
      <c r="B116" s="2" t="s">
        <v>249</v>
      </c>
      <c r="C116" s="3">
        <v>400.0</v>
      </c>
      <c r="D116" s="3">
        <v>78.0</v>
      </c>
      <c r="E116" s="5">
        <f>IFERROR(__xludf.DUMMYFUNCTION("IF(B116="""", 0, COUNTA(SPLIT(TRIM(B116), "" "")))"),12.0)</f>
        <v>12</v>
      </c>
      <c r="F116" s="5">
        <f>IFERROR(__xludf.DUMMYFUNCTION("IF(C116="""", 0, COUNTA(SPLIT(TRIM(C116), "" "")))"),1.0)</f>
        <v>1</v>
      </c>
    </row>
    <row r="117">
      <c r="A117" s="4">
        <v>116.0</v>
      </c>
      <c r="B117" s="2" t="s">
        <v>263</v>
      </c>
      <c r="C117" s="3">
        <v>4.0</v>
      </c>
      <c r="D117" s="3">
        <v>84.0</v>
      </c>
      <c r="E117" s="5">
        <f>IFERROR(__xludf.DUMMYFUNCTION("IF(B117="""", 0, COUNTA(SPLIT(TRIM(B117), "" "")))"),27.0)</f>
        <v>27</v>
      </c>
      <c r="F117" s="5">
        <f>IFERROR(__xludf.DUMMYFUNCTION("IF(C117="""", 0, COUNTA(SPLIT(TRIM(C117), "" "")))"),1.0)</f>
        <v>1</v>
      </c>
    </row>
    <row r="118">
      <c r="A118" s="4">
        <v>117.0</v>
      </c>
      <c r="B118" s="2" t="s">
        <v>275</v>
      </c>
      <c r="C118" s="3">
        <v>48.0</v>
      </c>
      <c r="D118" s="3">
        <v>57.0</v>
      </c>
      <c r="E118" s="5">
        <f>IFERROR(__xludf.DUMMYFUNCTION("IF(B118="""", 0, COUNTA(SPLIT(TRIM(B118), "" "")))"),16.0)</f>
        <v>16</v>
      </c>
      <c r="F118" s="5">
        <f>IFERROR(__xludf.DUMMYFUNCTION("IF(C118="""", 0, COUNTA(SPLIT(TRIM(C118), "" "")))"),1.0)</f>
        <v>1</v>
      </c>
    </row>
    <row r="119">
      <c r="A119" s="4">
        <v>118.0</v>
      </c>
      <c r="B119" s="2" t="s">
        <v>472</v>
      </c>
      <c r="C119" s="3">
        <v>18.0</v>
      </c>
      <c r="D119" s="3">
        <v>40.0</v>
      </c>
      <c r="E119" s="5">
        <f>IFERROR(__xludf.DUMMYFUNCTION("IF(B119="""", 0, COUNTA(SPLIT(TRIM(B119), "" "")))"),20.0)</f>
        <v>20</v>
      </c>
      <c r="F119" s="5">
        <f>IFERROR(__xludf.DUMMYFUNCTION("IF(C119="""", 0, COUNTA(SPLIT(TRIM(C119), "" "")))"),1.0)</f>
        <v>1</v>
      </c>
    </row>
    <row r="120">
      <c r="A120" s="4">
        <v>119.0</v>
      </c>
      <c r="B120" s="2" t="s">
        <v>40</v>
      </c>
      <c r="C120" s="3">
        <v>2026.0</v>
      </c>
      <c r="D120" s="3">
        <v>4.0</v>
      </c>
      <c r="E120" s="5">
        <f>IFERROR(__xludf.DUMMYFUNCTION("IF(B120="""", 0, COUNTA(SPLIT(TRIM(B120), "" "")))"),10.0)</f>
        <v>10</v>
      </c>
      <c r="F120" s="5">
        <f>IFERROR(__xludf.DUMMYFUNCTION("IF(C120="""", 0, COUNTA(SPLIT(TRIM(C120), "" "")))"),1.0)</f>
        <v>1</v>
      </c>
    </row>
    <row r="121">
      <c r="A121" s="4">
        <v>120.0</v>
      </c>
      <c r="B121" s="2" t="s">
        <v>60</v>
      </c>
      <c r="C121" s="3">
        <v>4900.0</v>
      </c>
      <c r="D121" s="3">
        <v>39.0</v>
      </c>
      <c r="E121" s="5">
        <f>IFERROR(__xludf.DUMMYFUNCTION("IF(B121="""", 0, COUNTA(SPLIT(TRIM(B121), "" "")))"),27.0)</f>
        <v>27</v>
      </c>
      <c r="F121" s="5">
        <f>IFERROR(__xludf.DUMMYFUNCTION("IF(C121="""", 0, COUNTA(SPLIT(TRIM(C121), "" "")))"),1.0)</f>
        <v>1</v>
      </c>
    </row>
    <row r="122">
      <c r="A122" s="4">
        <v>121.0</v>
      </c>
      <c r="B122" s="2" t="s">
        <v>80</v>
      </c>
      <c r="C122" s="3">
        <v>12.0</v>
      </c>
      <c r="D122" s="3">
        <v>23.0</v>
      </c>
      <c r="E122" s="5">
        <f>IFERROR(__xludf.DUMMYFUNCTION("IF(B122="""", 0, COUNTA(SPLIT(TRIM(B122), "" "")))"),17.0)</f>
        <v>17</v>
      </c>
      <c r="F122" s="5">
        <f>IFERROR(__xludf.DUMMYFUNCTION("IF(C122="""", 0, COUNTA(SPLIT(TRIM(C122), "" "")))"),1.0)</f>
        <v>1</v>
      </c>
    </row>
    <row r="123">
      <c r="A123" s="4">
        <v>122.0</v>
      </c>
      <c r="B123" s="2" t="s">
        <v>95</v>
      </c>
      <c r="C123" s="3">
        <v>3.0</v>
      </c>
      <c r="D123" s="3">
        <v>67.0</v>
      </c>
      <c r="E123" s="5">
        <f>IFERROR(__xludf.DUMMYFUNCTION("IF(B123="""", 0, COUNTA(SPLIT(TRIM(B123), "" "")))"),28.0)</f>
        <v>28</v>
      </c>
      <c r="F123" s="5">
        <f>IFERROR(__xludf.DUMMYFUNCTION("IF(C123="""", 0, COUNTA(SPLIT(TRIM(C123), "" "")))"),1.0)</f>
        <v>1</v>
      </c>
    </row>
    <row r="124">
      <c r="A124" s="4">
        <v>123.0</v>
      </c>
      <c r="B124" s="2" t="s">
        <v>118</v>
      </c>
      <c r="C124" s="3">
        <v>1.18E7</v>
      </c>
      <c r="D124" s="3">
        <v>57.0</v>
      </c>
      <c r="E124" s="5">
        <f>IFERROR(__xludf.DUMMYFUNCTION("IF(B124="""", 0, COUNTA(SPLIT(TRIM(B124), "" "")))"),19.0)</f>
        <v>19</v>
      </c>
      <c r="F124" s="5">
        <f>IFERROR(__xludf.DUMMYFUNCTION("IF(C124="""", 0, COUNTA(SPLIT(TRIM(C124), "" "")))"),1.0)</f>
        <v>1</v>
      </c>
    </row>
    <row r="125">
      <c r="A125" s="4">
        <v>124.0</v>
      </c>
      <c r="B125" s="2" t="s">
        <v>136</v>
      </c>
      <c r="C125" s="3">
        <v>1.25</v>
      </c>
      <c r="D125" s="3">
        <v>32.0</v>
      </c>
      <c r="E125" s="5">
        <f>IFERROR(__xludf.DUMMYFUNCTION("IF(B125="""", 0, COUNTA(SPLIT(TRIM(B125), "" "")))"),26.0)</f>
        <v>26</v>
      </c>
      <c r="F125" s="5">
        <f>IFERROR(__xludf.DUMMYFUNCTION("IF(C125="""", 0, COUNTA(SPLIT(TRIM(C125), "" "")))"),1.0)</f>
        <v>1</v>
      </c>
    </row>
    <row r="126">
      <c r="A126" s="4">
        <v>125.0</v>
      </c>
      <c r="B126" s="2" t="s">
        <v>150</v>
      </c>
      <c r="C126" s="3">
        <v>2.0</v>
      </c>
      <c r="D126" s="3">
        <v>30.0</v>
      </c>
      <c r="E126" s="5">
        <f>IFERROR(__xludf.DUMMYFUNCTION("IF(B126="""", 0, COUNTA(SPLIT(TRIM(B126), "" "")))"),23.0)</f>
        <v>23</v>
      </c>
      <c r="F126" s="5">
        <f>IFERROR(__xludf.DUMMYFUNCTION("IF(C126="""", 0, COUNTA(SPLIT(TRIM(C126), "" "")))"),1.0)</f>
        <v>1</v>
      </c>
    </row>
    <row r="127">
      <c r="A127" s="4">
        <v>126.0</v>
      </c>
      <c r="B127" s="2" t="s">
        <v>167</v>
      </c>
      <c r="C127" s="3">
        <v>350.0</v>
      </c>
      <c r="D127" s="3">
        <v>49.0</v>
      </c>
      <c r="E127" s="5">
        <f>IFERROR(__xludf.DUMMYFUNCTION("IF(B127="""", 0, COUNTA(SPLIT(TRIM(B127), "" "")))"),19.0)</f>
        <v>19</v>
      </c>
      <c r="F127" s="5">
        <f>IFERROR(__xludf.DUMMYFUNCTION("IF(C127="""", 0, COUNTA(SPLIT(TRIM(C127), "" "")))"),1.0)</f>
        <v>1</v>
      </c>
    </row>
    <row r="128">
      <c r="A128" s="4">
        <v>127.0</v>
      </c>
      <c r="B128" s="2" t="s">
        <v>186</v>
      </c>
      <c r="C128" s="3">
        <v>150.0</v>
      </c>
      <c r="D128" s="3">
        <v>51.0</v>
      </c>
      <c r="E128" s="5">
        <f>IFERROR(__xludf.DUMMYFUNCTION("IF(B128="""", 0, COUNTA(SPLIT(TRIM(B128), "" "")))"),21.0)</f>
        <v>21</v>
      </c>
      <c r="F128" s="5">
        <f>IFERROR(__xludf.DUMMYFUNCTION("IF(C128="""", 0, COUNTA(SPLIT(TRIM(C128), "" "")))"),1.0)</f>
        <v>1</v>
      </c>
    </row>
    <row r="129">
      <c r="A129" s="4">
        <v>128.0</v>
      </c>
      <c r="B129" s="2" t="s">
        <v>200</v>
      </c>
      <c r="C129" s="3">
        <v>100.0</v>
      </c>
      <c r="D129" s="3">
        <v>93.0</v>
      </c>
      <c r="E129" s="5">
        <f>IFERROR(__xludf.DUMMYFUNCTION("IF(B129="""", 0, COUNTA(SPLIT(TRIM(B129), "" "")))"),19.0)</f>
        <v>19</v>
      </c>
      <c r="F129" s="5">
        <f>IFERROR(__xludf.DUMMYFUNCTION("IF(C129="""", 0, COUNTA(SPLIT(TRIM(C129), "" "")))"),1.0)</f>
        <v>1</v>
      </c>
    </row>
    <row r="130">
      <c r="A130" s="4">
        <v>129.0</v>
      </c>
      <c r="B130" s="27" t="s">
        <v>220</v>
      </c>
      <c r="C130" s="3">
        <v>38.0</v>
      </c>
      <c r="D130" s="3">
        <v>72.0</v>
      </c>
      <c r="E130" s="5">
        <f>IFERROR(__xludf.DUMMYFUNCTION("IF(B130="""", 0, COUNTA(SPLIT(TRIM(B130), "" "")))"),11.0)</f>
        <v>11</v>
      </c>
      <c r="F130" s="5">
        <f>IFERROR(__xludf.DUMMYFUNCTION("IF(C130="""", 0, COUNTA(SPLIT(TRIM(C130), "" "")))"),1.0)</f>
        <v>1</v>
      </c>
    </row>
    <row r="131">
      <c r="A131" s="4">
        <v>130.0</v>
      </c>
      <c r="B131" s="2" t="s">
        <v>236</v>
      </c>
      <c r="C131" s="3">
        <v>86.0</v>
      </c>
      <c r="D131" s="3">
        <v>57.0</v>
      </c>
      <c r="E131" s="5">
        <f>IFERROR(__xludf.DUMMYFUNCTION("IF(B131="""", 0, COUNTA(SPLIT(TRIM(B131), "" "")))"),9.0)</f>
        <v>9</v>
      </c>
      <c r="F131" s="5">
        <f>IFERROR(__xludf.DUMMYFUNCTION("IF(C131="""", 0, COUNTA(SPLIT(TRIM(C131), "" "")))"),1.0)</f>
        <v>1</v>
      </c>
    </row>
    <row r="132">
      <c r="A132" s="4">
        <v>131.0</v>
      </c>
      <c r="B132" s="27" t="s">
        <v>250</v>
      </c>
      <c r="C132" s="3">
        <v>99.0</v>
      </c>
      <c r="D132" s="3">
        <v>88.0</v>
      </c>
      <c r="E132" s="5">
        <f>IFERROR(__xludf.DUMMYFUNCTION("IF(B132="""", 0, COUNTA(SPLIT(TRIM(B132), "" "")))"),7.0)</f>
        <v>7</v>
      </c>
      <c r="F132" s="5">
        <f>IFERROR(__xludf.DUMMYFUNCTION("IF(C132="""", 0, COUNTA(SPLIT(TRIM(C132), "" "")))"),1.0)</f>
        <v>1</v>
      </c>
    </row>
    <row r="133">
      <c r="A133" s="16">
        <v>132.0</v>
      </c>
      <c r="B133" s="17" t="s">
        <v>264</v>
      </c>
      <c r="C133" s="3">
        <v>550.0</v>
      </c>
      <c r="D133" s="3">
        <v>84.0</v>
      </c>
      <c r="E133" s="5">
        <f>IFERROR(__xludf.DUMMYFUNCTION("IF(B133="""", 0, COUNTA(SPLIT(TRIM(B133), "" "")))"),5.0)</f>
        <v>5</v>
      </c>
      <c r="F133" s="5">
        <f>IFERROR(__xludf.DUMMYFUNCTION("IF(C133="""", 0, COUNTA(SPLIT(TRIM(C133), "" "")))"),1.0)</f>
        <v>1</v>
      </c>
    </row>
    <row r="134">
      <c r="A134" s="4">
        <v>133.0</v>
      </c>
      <c r="B134" s="2" t="s">
        <v>276</v>
      </c>
      <c r="C134" s="3">
        <v>7.0</v>
      </c>
      <c r="D134" s="3">
        <v>67.0</v>
      </c>
      <c r="E134" s="5">
        <f>IFERROR(__xludf.DUMMYFUNCTION("IF(B134="""", 0, COUNTA(SPLIT(TRIM(B134), "" "")))"),14.0)</f>
        <v>14</v>
      </c>
      <c r="F134" s="5">
        <f>IFERROR(__xludf.DUMMYFUNCTION("IF(C134="""", 0, COUNTA(SPLIT(TRIM(C134), "" "")))"),1.0)</f>
        <v>1</v>
      </c>
    </row>
    <row r="135">
      <c r="A135" s="4">
        <v>134.0</v>
      </c>
      <c r="B135" s="2" t="s">
        <v>296</v>
      </c>
      <c r="C135" s="3">
        <v>4.8</v>
      </c>
      <c r="D135" s="3">
        <v>40.0</v>
      </c>
      <c r="E135" s="5">
        <f>IFERROR(__xludf.DUMMYFUNCTION("IF(B135="""", 0, COUNTA(SPLIT(TRIM(B135), "" "")))"),25.0)</f>
        <v>25</v>
      </c>
      <c r="F135" s="5">
        <f>IFERROR(__xludf.DUMMYFUNCTION("IF(C135="""", 0, COUNTA(SPLIT(TRIM(C135), "" "")))"),1.0)</f>
        <v>1</v>
      </c>
    </row>
    <row r="136">
      <c r="A136" s="4">
        <v>135.0</v>
      </c>
      <c r="B136" s="2" t="s">
        <v>41</v>
      </c>
      <c r="C136" s="3">
        <v>2.0</v>
      </c>
      <c r="D136" s="3">
        <v>34.0</v>
      </c>
      <c r="E136" s="5">
        <f>IFERROR(__xludf.DUMMYFUNCTION("IF(B136="""", 0, COUNTA(SPLIT(TRIM(B136), "" "")))"),12.0)</f>
        <v>12</v>
      </c>
      <c r="F136" s="5">
        <f>IFERROR(__xludf.DUMMYFUNCTION("IF(C136="""", 0, COUNTA(SPLIT(TRIM(C136), "" "")))"),1.0)</f>
        <v>1</v>
      </c>
    </row>
    <row r="137">
      <c r="A137" s="4">
        <v>136.0</v>
      </c>
      <c r="B137" s="2" t="s">
        <v>62</v>
      </c>
      <c r="C137" s="3">
        <v>5.0</v>
      </c>
      <c r="D137" s="3">
        <v>59.0</v>
      </c>
      <c r="E137" s="5">
        <f>IFERROR(__xludf.DUMMYFUNCTION("IF(B137="""", 0, COUNTA(SPLIT(TRIM(B137), "" "")))"),24.0)</f>
        <v>24</v>
      </c>
      <c r="F137" s="5">
        <f>IFERROR(__xludf.DUMMYFUNCTION("IF(C137="""", 0, COUNTA(SPLIT(TRIM(C137), "" "")))"),1.0)</f>
        <v>1</v>
      </c>
    </row>
    <row r="138">
      <c r="A138" s="4">
        <v>137.0</v>
      </c>
      <c r="B138" s="2" t="s">
        <v>81</v>
      </c>
      <c r="C138" s="3">
        <v>2.0</v>
      </c>
      <c r="D138" s="3">
        <v>23.0</v>
      </c>
      <c r="E138" s="5">
        <f>IFERROR(__xludf.DUMMYFUNCTION("IF(B138="""", 0, COUNTA(SPLIT(TRIM(B138), "" "")))"),20.0)</f>
        <v>20</v>
      </c>
      <c r="F138" s="5">
        <f>IFERROR(__xludf.DUMMYFUNCTION("IF(C138="""", 0, COUNTA(SPLIT(TRIM(C138), "" "")))"),1.0)</f>
        <v>1</v>
      </c>
    </row>
    <row r="139">
      <c r="A139" s="4">
        <v>138.0</v>
      </c>
      <c r="B139" s="27" t="s">
        <v>96</v>
      </c>
      <c r="C139" s="3">
        <v>1078.0</v>
      </c>
      <c r="D139" s="3">
        <v>47.0</v>
      </c>
      <c r="E139" s="5">
        <f>IFERROR(__xludf.DUMMYFUNCTION("IF(B139="""", 0, COUNTA(SPLIT(TRIM(B139), "" "")))"),10.0)</f>
        <v>10</v>
      </c>
      <c r="F139" s="5">
        <f>IFERROR(__xludf.DUMMYFUNCTION("IF(C139="""", 0, COUNTA(SPLIT(TRIM(C139), "" "")))"),1.0)</f>
        <v>1</v>
      </c>
    </row>
    <row r="140">
      <c r="A140" s="4">
        <v>139.0</v>
      </c>
      <c r="B140" s="2" t="s">
        <v>120</v>
      </c>
      <c r="C140" s="3">
        <v>1500.0</v>
      </c>
      <c r="D140" s="3">
        <v>97.0</v>
      </c>
      <c r="E140" s="5">
        <f>IFERROR(__xludf.DUMMYFUNCTION("IF(B140="""", 0, COUNTA(SPLIT(TRIM(B140), "" "")))"),27.0)</f>
        <v>27</v>
      </c>
      <c r="F140" s="5">
        <f>IFERROR(__xludf.DUMMYFUNCTION("IF(C140="""", 0, COUNTA(SPLIT(TRIM(C140), "" "")))"),1.0)</f>
        <v>1</v>
      </c>
    </row>
    <row r="141">
      <c r="A141" s="4">
        <v>140.0</v>
      </c>
      <c r="B141" s="2" t="s">
        <v>137</v>
      </c>
      <c r="C141" s="3">
        <v>1800.0</v>
      </c>
      <c r="D141" s="3">
        <v>42.0</v>
      </c>
      <c r="E141" s="5">
        <f>IFERROR(__xludf.DUMMYFUNCTION("IF(B141="""", 0, COUNTA(SPLIT(TRIM(B141), "" "")))"),24.0)</f>
        <v>24</v>
      </c>
      <c r="F141" s="5">
        <f>IFERROR(__xludf.DUMMYFUNCTION("IF(C141="""", 0, COUNTA(SPLIT(TRIM(C141), "" "")))"),1.0)</f>
        <v>1</v>
      </c>
    </row>
    <row r="142">
      <c r="A142" s="4">
        <v>141.0</v>
      </c>
      <c r="B142" s="2" t="s">
        <v>169</v>
      </c>
      <c r="C142" s="3">
        <v>200.0</v>
      </c>
      <c r="D142" s="3">
        <v>49.0</v>
      </c>
      <c r="E142" s="5">
        <f>IFERROR(__xludf.DUMMYFUNCTION("IF(B142="""", 0, COUNTA(SPLIT(TRIM(B142), "" "")))"),21.0)</f>
        <v>21</v>
      </c>
      <c r="F142" s="5">
        <f>IFERROR(__xludf.DUMMYFUNCTION("IF(C142="""", 0, COUNTA(SPLIT(TRIM(C142), "" "")))"),1.0)</f>
        <v>1</v>
      </c>
    </row>
    <row r="143">
      <c r="A143" s="4">
        <v>142.0</v>
      </c>
      <c r="B143" s="2" t="s">
        <v>187</v>
      </c>
      <c r="C143" s="3">
        <v>50000.0</v>
      </c>
      <c r="D143" s="3">
        <v>91.0</v>
      </c>
      <c r="E143" s="5">
        <f>IFERROR(__xludf.DUMMYFUNCTION("IF(B143="""", 0, COUNTA(SPLIT(TRIM(B143), "" "")))"),22.0)</f>
        <v>22</v>
      </c>
      <c r="F143" s="5">
        <f>IFERROR(__xludf.DUMMYFUNCTION("IF(C143="""", 0, COUNTA(SPLIT(TRIM(C143), "" "")))"),1.0)</f>
        <v>1</v>
      </c>
    </row>
    <row r="144">
      <c r="A144" s="4">
        <v>143.0</v>
      </c>
      <c r="B144" s="2" t="s">
        <v>201</v>
      </c>
      <c r="C144" s="3">
        <v>14.0</v>
      </c>
      <c r="D144" s="3">
        <v>73.0</v>
      </c>
      <c r="E144" s="5">
        <f>IFERROR(__xludf.DUMMYFUNCTION("IF(B144="""", 0, COUNTA(SPLIT(TRIM(B144), "" "")))"),22.0)</f>
        <v>22</v>
      </c>
      <c r="F144" s="5">
        <f>IFERROR(__xludf.DUMMYFUNCTION("IF(C144="""", 0, COUNTA(SPLIT(TRIM(C144), "" "")))"),1.0)</f>
        <v>1</v>
      </c>
    </row>
    <row r="145">
      <c r="A145" s="4">
        <v>144.0</v>
      </c>
      <c r="B145" s="2" t="s">
        <v>222</v>
      </c>
      <c r="C145" s="3">
        <v>1286.0</v>
      </c>
      <c r="D145" s="3">
        <v>82.0</v>
      </c>
      <c r="E145" s="5">
        <f>IFERROR(__xludf.DUMMYFUNCTION("IF(B145="""", 0, COUNTA(SPLIT(TRIM(B145), "" "")))"),8.0)</f>
        <v>8</v>
      </c>
      <c r="F145" s="5">
        <f>IFERROR(__xludf.DUMMYFUNCTION("IF(C145="""", 0, COUNTA(SPLIT(TRIM(C145), "" "")))"),1.0)</f>
        <v>1</v>
      </c>
    </row>
    <row r="146">
      <c r="A146" s="4">
        <v>145.0</v>
      </c>
      <c r="B146" s="2" t="s">
        <v>237</v>
      </c>
      <c r="C146" s="3">
        <v>350.0</v>
      </c>
      <c r="D146" s="3">
        <v>77.0</v>
      </c>
      <c r="E146" s="5">
        <f>IFERROR(__xludf.DUMMYFUNCTION("IF(B146="""", 0, COUNTA(SPLIT(TRIM(B146), "" "")))"),15.0)</f>
        <v>15</v>
      </c>
      <c r="F146" s="5">
        <f>IFERROR(__xludf.DUMMYFUNCTION("IF(C146="""", 0, COUNTA(SPLIT(TRIM(C146), "" "")))"),1.0)</f>
        <v>1</v>
      </c>
    </row>
    <row r="147">
      <c r="A147" s="4">
        <v>146.0</v>
      </c>
      <c r="B147" s="2" t="s">
        <v>251</v>
      </c>
      <c r="C147" s="3">
        <v>10000.0</v>
      </c>
      <c r="D147" s="3">
        <v>98.0</v>
      </c>
      <c r="E147" s="5">
        <f>IFERROR(__xludf.DUMMYFUNCTION("IF(B147="""", 0, COUNTA(SPLIT(TRIM(B147), "" "")))"),8.0)</f>
        <v>8</v>
      </c>
      <c r="F147" s="5">
        <f>IFERROR(__xludf.DUMMYFUNCTION("IF(C147="""", 0, COUNTA(SPLIT(TRIM(C147), "" "")))"),1.0)</f>
        <v>1</v>
      </c>
    </row>
    <row r="148">
      <c r="A148" s="4">
        <v>147.0</v>
      </c>
      <c r="B148" s="27" t="s">
        <v>555</v>
      </c>
      <c r="C148" s="3">
        <v>5.0</v>
      </c>
      <c r="D148" s="3">
        <v>64.0</v>
      </c>
      <c r="E148" s="5">
        <f>IFERROR(__xludf.DUMMYFUNCTION("IF(B148="""", 0, COUNTA(SPLIT(TRIM(B148), "" "")))"),10.0)</f>
        <v>10</v>
      </c>
      <c r="F148" s="5">
        <f>IFERROR(__xludf.DUMMYFUNCTION("IF(C148="""", 0, COUNTA(SPLIT(TRIM(C148), "" "")))"),1.0)</f>
        <v>1</v>
      </c>
    </row>
    <row r="149">
      <c r="A149" s="4">
        <v>148.0</v>
      </c>
      <c r="B149" s="2" t="s">
        <v>277</v>
      </c>
      <c r="C149" s="3">
        <v>90.0</v>
      </c>
      <c r="D149" s="3">
        <v>87.0</v>
      </c>
      <c r="E149" s="5">
        <f>IFERROR(__xludf.DUMMYFUNCTION("IF(B149="""", 0, COUNTA(SPLIT(TRIM(B149), "" "")))"),12.0)</f>
        <v>12</v>
      </c>
      <c r="F149" s="5">
        <f>IFERROR(__xludf.DUMMYFUNCTION("IF(C149="""", 0, COUNTA(SPLIT(TRIM(C149), "" "")))"),1.0)</f>
        <v>1</v>
      </c>
    </row>
    <row r="150">
      <c r="A150" s="4">
        <v>149.0</v>
      </c>
      <c r="B150" s="2" t="s">
        <v>297</v>
      </c>
      <c r="C150" s="3">
        <v>312.0</v>
      </c>
      <c r="D150" s="3">
        <v>50.0</v>
      </c>
      <c r="E150" s="5">
        <f>IFERROR(__xludf.DUMMYFUNCTION("IF(B150="""", 0, COUNTA(SPLIT(TRIM(B150), "" "")))"),32.0)</f>
        <v>32</v>
      </c>
      <c r="F150" s="5">
        <f>IFERROR(__xludf.DUMMYFUNCTION("IF(C150="""", 0, COUNTA(SPLIT(TRIM(C150), "" "")))"),1.0)</f>
        <v>1</v>
      </c>
    </row>
    <row r="151">
      <c r="A151" s="4">
        <v>150.0</v>
      </c>
      <c r="B151" s="2" t="s">
        <v>43</v>
      </c>
      <c r="C151" s="3" t="s">
        <v>44</v>
      </c>
      <c r="D151" s="3">
        <v>54.0</v>
      </c>
      <c r="E151" s="5">
        <f>IFERROR(__xludf.DUMMYFUNCTION("IF(B151="""", 0, COUNTA(SPLIT(TRIM(B151), "" "")))"),6.0)</f>
        <v>6</v>
      </c>
      <c r="F151" s="5">
        <f>IFERROR(__xludf.DUMMYFUNCTION("IF(C151="""", 0, COUNTA(SPLIT(TRIM(C151), "" "")))"),2.0)</f>
        <v>2</v>
      </c>
    </row>
    <row r="152">
      <c r="A152" s="4">
        <v>151.0</v>
      </c>
      <c r="B152" s="2" t="s">
        <v>63</v>
      </c>
      <c r="C152" s="3" t="s">
        <v>64</v>
      </c>
      <c r="D152" s="3">
        <v>89.0</v>
      </c>
      <c r="E152" s="5">
        <f>IFERROR(__xludf.DUMMYFUNCTION("IF(B152="""", 0, COUNTA(SPLIT(TRIM(B152), "" "")))"),17.0)</f>
        <v>17</v>
      </c>
      <c r="F152" s="5">
        <f>IFERROR(__xludf.DUMMYFUNCTION("IF(C152="""", 0, COUNTA(SPLIT(TRIM(C152), "" "")))"),2.0)</f>
        <v>2</v>
      </c>
    </row>
    <row r="153">
      <c r="A153" s="4">
        <v>152.0</v>
      </c>
      <c r="B153" s="2" t="s">
        <v>82</v>
      </c>
      <c r="C153" s="3" t="s">
        <v>83</v>
      </c>
      <c r="D153" s="3">
        <v>73.0</v>
      </c>
      <c r="E153" s="5">
        <f>IFERROR(__xludf.DUMMYFUNCTION("IF(B153="""", 0, COUNTA(SPLIT(TRIM(B153), "" "")))"),17.0)</f>
        <v>17</v>
      </c>
      <c r="F153" s="5">
        <f>IFERROR(__xludf.DUMMYFUNCTION("IF(C153="""", 0, COUNTA(SPLIT(TRIM(C153), "" "")))"),1.0)</f>
        <v>1</v>
      </c>
    </row>
    <row r="154">
      <c r="A154" s="4">
        <v>153.0</v>
      </c>
      <c r="B154" s="2" t="s">
        <v>98</v>
      </c>
      <c r="C154" s="3" t="s">
        <v>99</v>
      </c>
      <c r="D154" s="3">
        <v>87.0</v>
      </c>
      <c r="E154" s="5">
        <f>IFERROR(__xludf.DUMMYFUNCTION("IF(B154="""", 0, COUNTA(SPLIT(TRIM(B154), "" "")))"),13.0)</f>
        <v>13</v>
      </c>
      <c r="F154" s="5">
        <f>IFERROR(__xludf.DUMMYFUNCTION("IF(C154="""", 0, COUNTA(SPLIT(TRIM(C154), "" "")))"),3.0)</f>
        <v>3</v>
      </c>
    </row>
    <row r="155">
      <c r="A155" s="4">
        <v>154.0</v>
      </c>
      <c r="B155" s="2" t="s">
        <v>123</v>
      </c>
      <c r="C155" s="3" t="s">
        <v>124</v>
      </c>
      <c r="D155" s="3">
        <v>57.0</v>
      </c>
      <c r="E155" s="5">
        <f>IFERROR(__xludf.DUMMYFUNCTION("IF(B155="""", 0, COUNTA(SPLIT(TRIM(B155), "" "")))"),13.0)</f>
        <v>13</v>
      </c>
      <c r="F155" s="5">
        <f>IFERROR(__xludf.DUMMYFUNCTION("IF(C155="""", 0, COUNTA(SPLIT(TRIM(C155), "" "")))"),2.0)</f>
        <v>2</v>
      </c>
    </row>
    <row r="156">
      <c r="A156" s="4">
        <v>155.0</v>
      </c>
      <c r="B156" s="2" t="s">
        <v>138</v>
      </c>
      <c r="C156" s="3" t="s">
        <v>139</v>
      </c>
      <c r="D156" s="3">
        <v>52.0</v>
      </c>
      <c r="E156" s="5">
        <f>IFERROR(__xludf.DUMMYFUNCTION("IF(B156="""", 0, COUNTA(SPLIT(TRIM(B156), "" "")))"),23.0)</f>
        <v>23</v>
      </c>
      <c r="F156" s="5">
        <f>IFERROR(__xludf.DUMMYFUNCTION("IF(C156="""", 0, COUNTA(SPLIT(TRIM(C156), "" "")))"),2.0)</f>
        <v>2</v>
      </c>
    </row>
    <row r="157">
      <c r="A157" s="49">
        <v>156.0</v>
      </c>
      <c r="B157" s="50" t="s">
        <v>151</v>
      </c>
      <c r="C157" s="51" t="s">
        <v>152</v>
      </c>
      <c r="D157" s="51">
        <v>50.0</v>
      </c>
      <c r="E157" s="52">
        <f>IFERROR(__xludf.DUMMYFUNCTION("IF(B157="""", 0, COUNTA(SPLIT(TRIM(B157), "" "")))"),10.0)</f>
        <v>10</v>
      </c>
      <c r="F157" s="52">
        <f>IFERROR(__xludf.DUMMYFUNCTION("IF(C157="""", 0, COUNTA(SPLIT(TRIM(C157), "" "")))"),9.0)</f>
        <v>9</v>
      </c>
      <c r="G157" s="52"/>
      <c r="H157" s="52"/>
      <c r="I157" s="52"/>
      <c r="J157" s="52"/>
      <c r="K157" s="52"/>
      <c r="L157" s="52"/>
      <c r="M157" s="52"/>
      <c r="N157" s="52"/>
      <c r="O157" s="52"/>
      <c r="P157" s="52"/>
      <c r="Q157" s="52"/>
      <c r="R157" s="52"/>
      <c r="S157" s="52"/>
      <c r="T157" s="52"/>
      <c r="U157" s="52"/>
      <c r="V157" s="52"/>
      <c r="W157" s="52"/>
      <c r="X157" s="52"/>
      <c r="Y157" s="52"/>
      <c r="Z157" s="52"/>
    </row>
    <row r="158">
      <c r="A158" s="4">
        <v>157.0</v>
      </c>
      <c r="B158" s="2" t="s">
        <v>171</v>
      </c>
      <c r="C158" s="3">
        <v>2.07</v>
      </c>
      <c r="D158" s="3">
        <v>59.0</v>
      </c>
      <c r="E158" s="5">
        <f>IFERROR(__xludf.DUMMYFUNCTION("IF(B158="""", 0, COUNTA(SPLIT(TRIM(B158), "" "")))"),13.0)</f>
        <v>13</v>
      </c>
      <c r="F158" s="5">
        <f>IFERROR(__xludf.DUMMYFUNCTION("IF(C158="""", 0, COUNTA(SPLIT(TRIM(C158), "" "")))"),1.0)</f>
        <v>1</v>
      </c>
    </row>
    <row r="159">
      <c r="A159" s="4">
        <v>158.0</v>
      </c>
      <c r="B159" s="2" t="s">
        <v>188</v>
      </c>
      <c r="C159" s="3" t="s">
        <v>189</v>
      </c>
      <c r="D159" s="3">
        <v>41.0</v>
      </c>
      <c r="E159" s="5">
        <f>IFERROR(__xludf.DUMMYFUNCTION("IF(B159="""", 0, COUNTA(SPLIT(TRIM(B159), "" "")))"),17.0)</f>
        <v>17</v>
      </c>
      <c r="F159" s="5">
        <f>IFERROR(__xludf.DUMMYFUNCTION("IF(C159="""", 0, COUNTA(SPLIT(TRIM(C159), "" "")))"),1.0)</f>
        <v>1</v>
      </c>
    </row>
    <row r="160">
      <c r="A160" s="4">
        <v>159.0</v>
      </c>
      <c r="B160" s="2" t="s">
        <v>202</v>
      </c>
      <c r="C160" s="53">
        <v>0.9166666666666666</v>
      </c>
      <c r="D160" s="3">
        <v>13.0</v>
      </c>
      <c r="E160" s="5">
        <f>IFERROR(__xludf.DUMMYFUNCTION("IF(B160="""", 0, COUNTA(SPLIT(TRIM(B160), "" "")))"),24.0)</f>
        <v>24</v>
      </c>
      <c r="F160" s="5">
        <f>IFERROR(__xludf.DUMMYFUNCTION("IF(C160="""", 0, COUNTA(SPLIT(TRIM(C160), "" "")))"),1.0)</f>
        <v>1</v>
      </c>
    </row>
    <row r="161">
      <c r="A161" s="4">
        <v>160.0</v>
      </c>
      <c r="B161" s="2" t="s">
        <v>224</v>
      </c>
      <c r="C161" s="3" t="s">
        <v>225</v>
      </c>
      <c r="D161" s="3">
        <v>92.0</v>
      </c>
      <c r="E161" s="5">
        <f>IFERROR(__xludf.DUMMYFUNCTION("IF(B161="""", 0, COUNTA(SPLIT(TRIM(B161), "" "")))"),11.0)</f>
        <v>11</v>
      </c>
      <c r="F161" s="5">
        <f>IFERROR(__xludf.DUMMYFUNCTION("IF(C161="""", 0, COUNTA(SPLIT(TRIM(C161), "" "")))"),2.0)</f>
        <v>2</v>
      </c>
    </row>
    <row r="162">
      <c r="A162" s="4">
        <v>161.0</v>
      </c>
      <c r="B162" s="2" t="s">
        <v>239</v>
      </c>
      <c r="C162" s="3" t="s">
        <v>240</v>
      </c>
      <c r="D162" s="3">
        <v>17.0</v>
      </c>
      <c r="E162" s="5">
        <f>IFERROR(__xludf.DUMMYFUNCTION("IF(B162="""", 0, COUNTA(SPLIT(TRIM(B162), "" "")))"),11.0)</f>
        <v>11</v>
      </c>
      <c r="F162" s="5">
        <f>IFERROR(__xludf.DUMMYFUNCTION("IF(C162="""", 0, COUNTA(SPLIT(TRIM(C162), "" "")))"),3.0)</f>
        <v>3</v>
      </c>
    </row>
    <row r="163">
      <c r="A163" s="4">
        <v>162.0</v>
      </c>
      <c r="B163" s="2" t="s">
        <v>252</v>
      </c>
      <c r="C163" s="3" t="s">
        <v>253</v>
      </c>
      <c r="D163" s="3">
        <v>58.0</v>
      </c>
      <c r="E163" s="5">
        <f>IFERROR(__xludf.DUMMYFUNCTION("IF(B163="""", 0, COUNTA(SPLIT(TRIM(B163), "" "")))"),13.0)</f>
        <v>13</v>
      </c>
      <c r="F163" s="5">
        <f>IFERROR(__xludf.DUMMYFUNCTION("IF(C163="""", 0, COUNTA(SPLIT(TRIM(C163), "" "")))"),2.0)</f>
        <v>2</v>
      </c>
    </row>
    <row r="164">
      <c r="A164" s="4">
        <v>163.0</v>
      </c>
      <c r="B164" s="2" t="s">
        <v>556</v>
      </c>
      <c r="C164" s="3" t="s">
        <v>268</v>
      </c>
      <c r="D164" s="3">
        <v>54.0</v>
      </c>
      <c r="E164" s="5">
        <f>IFERROR(__xludf.DUMMYFUNCTION("IF(B164="""", 0, COUNTA(SPLIT(TRIM(B164), "" "")))"),15.0)</f>
        <v>15</v>
      </c>
      <c r="F164" s="5">
        <f>IFERROR(__xludf.DUMMYFUNCTION("IF(C164="""", 0, COUNTA(SPLIT(TRIM(C164), "" "")))"),1.0)</f>
        <v>1</v>
      </c>
    </row>
    <row r="165">
      <c r="A165" s="4">
        <v>164.0</v>
      </c>
      <c r="B165" s="2" t="s">
        <v>278</v>
      </c>
      <c r="C165" s="3" t="s">
        <v>279</v>
      </c>
      <c r="D165" s="3">
        <v>77.0</v>
      </c>
      <c r="E165" s="5">
        <f>IFERROR(__xludf.DUMMYFUNCTION("IF(B165="""", 0, COUNTA(SPLIT(TRIM(B165), "" "")))"),14.0)</f>
        <v>14</v>
      </c>
      <c r="F165" s="5">
        <f>IFERROR(__xludf.DUMMYFUNCTION("IF(C165="""", 0, COUNTA(SPLIT(TRIM(C165), "" "")))"),2.0)</f>
        <v>2</v>
      </c>
    </row>
    <row r="166">
      <c r="A166" s="4">
        <v>165.0</v>
      </c>
      <c r="B166" s="2" t="s">
        <v>298</v>
      </c>
      <c r="C166" s="3" t="s">
        <v>300</v>
      </c>
      <c r="D166" s="3">
        <v>60.0</v>
      </c>
      <c r="E166" s="5">
        <f>IFERROR(__xludf.DUMMYFUNCTION("IF(B166="""", 0, COUNTA(SPLIT(TRIM(B166), "" "")))"),16.0)</f>
        <v>16</v>
      </c>
      <c r="F166" s="5">
        <f>IFERROR(__xludf.DUMMYFUNCTION("IF(C166="""", 0, COUNTA(SPLIT(TRIM(C166), "" "")))"),2.0)</f>
        <v>2</v>
      </c>
    </row>
    <row r="167">
      <c r="A167" s="4">
        <v>166.0</v>
      </c>
      <c r="B167" s="2" t="s">
        <v>47</v>
      </c>
      <c r="C167" s="3" t="s">
        <v>48</v>
      </c>
      <c r="D167" s="3">
        <v>94.0</v>
      </c>
      <c r="E167" s="5">
        <f>IFERROR(__xludf.DUMMYFUNCTION("IF(B167="""", 0, COUNTA(SPLIT(TRIM(B167), "" "")))"),13.0)</f>
        <v>13</v>
      </c>
      <c r="F167" s="5">
        <f>IFERROR(__xludf.DUMMYFUNCTION("IF(C167="""", 0, COUNTA(SPLIT(TRIM(C167), "" "")))"),2.0)</f>
        <v>2</v>
      </c>
    </row>
    <row r="168">
      <c r="A168" s="4">
        <v>167.0</v>
      </c>
      <c r="B168" s="2" t="s">
        <v>68</v>
      </c>
      <c r="C168" s="3" t="s">
        <v>557</v>
      </c>
      <c r="D168" s="3">
        <v>99.0</v>
      </c>
      <c r="E168" s="5">
        <f>IFERROR(__xludf.DUMMYFUNCTION("IF(B168="""", 0, COUNTA(SPLIT(TRIM(B168), "" "")))"),13.0)</f>
        <v>13</v>
      </c>
      <c r="F168" s="5">
        <f>IFERROR(__xludf.DUMMYFUNCTION("IF(C168="""", 0, COUNTA(SPLIT(TRIM(C168), "" "")))"),1.0)</f>
        <v>1</v>
      </c>
    </row>
    <row r="169">
      <c r="A169" s="4">
        <v>168.0</v>
      </c>
      <c r="B169" s="2" t="s">
        <v>87</v>
      </c>
      <c r="C169" s="3" t="s">
        <v>558</v>
      </c>
      <c r="D169" s="3">
        <v>93.0</v>
      </c>
      <c r="E169" s="5">
        <f>IFERROR(__xludf.DUMMYFUNCTION("IF(B169="""", 0, COUNTA(SPLIT(TRIM(B169), "" "")))"),16.0)</f>
        <v>16</v>
      </c>
      <c r="F169" s="5">
        <f>IFERROR(__xludf.DUMMYFUNCTION("IF(C169="""", 0, COUNTA(SPLIT(TRIM(C169), "" "")))"),2.0)</f>
        <v>2</v>
      </c>
    </row>
    <row r="170">
      <c r="A170" s="4">
        <v>169.0</v>
      </c>
      <c r="B170" s="2" t="s">
        <v>102</v>
      </c>
      <c r="C170" s="3" t="s">
        <v>103</v>
      </c>
      <c r="D170" s="3">
        <v>37.0</v>
      </c>
      <c r="E170" s="5">
        <f>IFERROR(__xludf.DUMMYFUNCTION("IF(B170="""", 0, COUNTA(SPLIT(TRIM(B170), "" "")))"),10.0)</f>
        <v>10</v>
      </c>
      <c r="F170" s="5">
        <f>IFERROR(__xludf.DUMMYFUNCTION("IF(C170="""", 0, COUNTA(SPLIT(TRIM(C170), "" "")))"),2.0)</f>
        <v>2</v>
      </c>
    </row>
    <row r="171">
      <c r="A171" s="54">
        <v>170.0</v>
      </c>
      <c r="B171" s="50" t="s">
        <v>128</v>
      </c>
      <c r="C171" s="25" t="s">
        <v>129</v>
      </c>
      <c r="D171" s="3">
        <v>87.0</v>
      </c>
      <c r="E171" s="5">
        <f>IFERROR(__xludf.DUMMYFUNCTION("IF(B171="""", 0, COUNTA(SPLIT(TRIM(B171), "" "")))"),21.0)</f>
        <v>21</v>
      </c>
      <c r="F171" s="5">
        <f>IFERROR(__xludf.DUMMYFUNCTION("IF(C171="""", 0, COUNTA(SPLIT(TRIM(C171), "" "")))"),11.0)</f>
        <v>11</v>
      </c>
    </row>
    <row r="172">
      <c r="A172" s="4">
        <v>171.0</v>
      </c>
      <c r="B172" s="2" t="s">
        <v>142</v>
      </c>
      <c r="C172" s="3" t="s">
        <v>143</v>
      </c>
      <c r="D172" s="3">
        <v>62.0</v>
      </c>
      <c r="E172" s="5">
        <f>IFERROR(__xludf.DUMMYFUNCTION("IF(B172="""", 0, COUNTA(SPLIT(TRIM(B172), "" "")))"),22.0)</f>
        <v>22</v>
      </c>
      <c r="F172" s="5">
        <f>IFERROR(__xludf.DUMMYFUNCTION("IF(C172="""", 0, COUNTA(SPLIT(TRIM(C172), "" "")))"),2.0)</f>
        <v>2</v>
      </c>
    </row>
    <row r="173">
      <c r="A173" s="4">
        <v>172.0</v>
      </c>
      <c r="B173" s="2" t="s">
        <v>176</v>
      </c>
      <c r="C173" s="3" t="s">
        <v>177</v>
      </c>
      <c r="D173" s="3">
        <v>79.0</v>
      </c>
      <c r="E173" s="5">
        <f>IFERROR(__xludf.DUMMYFUNCTION("IF(B173="""", 0, COUNTA(SPLIT(TRIM(B173), "" "")))"),9.0)</f>
        <v>9</v>
      </c>
      <c r="F173" s="5">
        <f>IFERROR(__xludf.DUMMYFUNCTION("IF(C173="""", 0, COUNTA(SPLIT(TRIM(C173), "" "")))"),2.0)</f>
        <v>2</v>
      </c>
    </row>
    <row r="174">
      <c r="A174" s="4">
        <v>173.0</v>
      </c>
      <c r="B174" s="2" t="s">
        <v>193</v>
      </c>
      <c r="C174" s="3" t="s">
        <v>194</v>
      </c>
      <c r="D174" s="3">
        <v>31.0</v>
      </c>
      <c r="E174" s="5">
        <f>IFERROR(__xludf.DUMMYFUNCTION("IF(B174="""", 0, COUNTA(SPLIT(TRIM(B174), "" "")))"),24.0)</f>
        <v>24</v>
      </c>
      <c r="F174" s="5">
        <f>IFERROR(__xludf.DUMMYFUNCTION("IF(C174="""", 0, COUNTA(SPLIT(TRIM(C174), "" "")))"),3.0)</f>
        <v>3</v>
      </c>
    </row>
    <row r="175">
      <c r="A175" s="4">
        <v>174.0</v>
      </c>
      <c r="B175" s="2" t="s">
        <v>206</v>
      </c>
      <c r="C175" s="3" t="s">
        <v>207</v>
      </c>
      <c r="D175" s="3">
        <v>3.0</v>
      </c>
      <c r="E175" s="5">
        <f>IFERROR(__xludf.DUMMYFUNCTION("IF(B175="""", 0, COUNTA(SPLIT(TRIM(B175), "" "")))"),16.0)</f>
        <v>16</v>
      </c>
      <c r="F175" s="5">
        <f>IFERROR(__xludf.DUMMYFUNCTION("IF(C175="""", 0, COUNTA(SPLIT(TRIM(C175), "" "")))"),2.0)</f>
        <v>2</v>
      </c>
    </row>
    <row r="176">
      <c r="A176" s="4">
        <v>175.0</v>
      </c>
      <c r="B176" s="2" t="s">
        <v>229</v>
      </c>
      <c r="C176" s="3" t="s">
        <v>230</v>
      </c>
      <c r="D176" s="3">
        <v>2.0</v>
      </c>
      <c r="E176" s="5">
        <f>IFERROR(__xludf.DUMMYFUNCTION("IF(B176="""", 0, COUNTA(SPLIT(TRIM(B176), "" "")))"),13.0)</f>
        <v>13</v>
      </c>
      <c r="F176" s="5">
        <f>IFERROR(__xludf.DUMMYFUNCTION("IF(C176="""", 0, COUNTA(SPLIT(TRIM(C176), "" "")))"),2.0)</f>
        <v>2</v>
      </c>
    </row>
    <row r="177">
      <c r="A177" s="4">
        <v>176.0</v>
      </c>
      <c r="B177" s="2" t="s">
        <v>243</v>
      </c>
      <c r="C177" s="3" t="s">
        <v>244</v>
      </c>
      <c r="D177" s="3">
        <v>87.0</v>
      </c>
      <c r="E177" s="5">
        <f>IFERROR(__xludf.DUMMYFUNCTION("IF(B177="""", 0, COUNTA(SPLIT(TRIM(B177), "" "")))"),18.0)</f>
        <v>18</v>
      </c>
      <c r="F177" s="5">
        <f>IFERROR(__xludf.DUMMYFUNCTION("IF(C177="""", 0, COUNTA(SPLIT(TRIM(C177), "" "")))"),3.0)</f>
        <v>3</v>
      </c>
    </row>
    <row r="178">
      <c r="A178" s="4">
        <v>177.0</v>
      </c>
      <c r="B178" s="2" t="s">
        <v>256</v>
      </c>
      <c r="C178" s="3" t="s">
        <v>257</v>
      </c>
      <c r="D178" s="3">
        <v>18.0</v>
      </c>
      <c r="E178" s="5">
        <f>IFERROR(__xludf.DUMMYFUNCTION("IF(B178="""", 0, COUNTA(SPLIT(TRIM(B178), "" "")))"),13.0)</f>
        <v>13</v>
      </c>
      <c r="F178" s="5">
        <f>IFERROR(__xludf.DUMMYFUNCTION("IF(C178="""", 0, COUNTA(SPLIT(TRIM(C178), "" "")))"),1.0)</f>
        <v>1</v>
      </c>
    </row>
    <row r="179">
      <c r="A179" s="16">
        <v>178.0</v>
      </c>
      <c r="B179" s="17" t="s">
        <v>271</v>
      </c>
      <c r="C179" s="25" t="s">
        <v>272</v>
      </c>
      <c r="D179" s="3">
        <v>14.0</v>
      </c>
      <c r="E179" s="5">
        <f>IFERROR(__xludf.DUMMYFUNCTION("IF(B179="""", 0, COUNTA(SPLIT(TRIM(B179), "" "")))"),11.0)</f>
        <v>11</v>
      </c>
      <c r="F179" s="5">
        <f>IFERROR(__xludf.DUMMYFUNCTION("IF(C179="""", 0, COUNTA(SPLIT(TRIM(C179), "" "")))"),1.0)</f>
        <v>1</v>
      </c>
    </row>
    <row r="180">
      <c r="A180" s="4">
        <v>179.0</v>
      </c>
      <c r="B180" s="2" t="s">
        <v>282</v>
      </c>
      <c r="C180" s="3" t="s">
        <v>283</v>
      </c>
      <c r="D180" s="3">
        <v>97.0</v>
      </c>
      <c r="E180" s="5">
        <f>IFERROR(__xludf.DUMMYFUNCTION("IF(B180="""", 0, COUNTA(SPLIT(TRIM(B180), "" "")))"),6.0)</f>
        <v>6</v>
      </c>
      <c r="F180" s="5">
        <f>IFERROR(__xludf.DUMMYFUNCTION("IF(C180="""", 0, COUNTA(SPLIT(TRIM(C180), "" "")))"),2.0)</f>
        <v>2</v>
      </c>
    </row>
    <row r="181">
      <c r="A181" s="4">
        <v>180.0</v>
      </c>
      <c r="B181" s="2" t="s">
        <v>305</v>
      </c>
      <c r="C181" s="3" t="s">
        <v>306</v>
      </c>
      <c r="D181" s="3">
        <v>80.0</v>
      </c>
      <c r="E181" s="5">
        <f>IFERROR(__xludf.DUMMYFUNCTION("IF(B181="""", 0, COUNTA(SPLIT(TRIM(B181), "" "")))"),21.0)</f>
        <v>21</v>
      </c>
      <c r="F181" s="5">
        <f>IFERROR(__xludf.DUMMYFUNCTION("IF(C181="""", 0, COUNTA(SPLIT(TRIM(C181), "" "")))"),2.0)</f>
        <v>2</v>
      </c>
    </row>
    <row r="182">
      <c r="A182" s="4">
        <v>181.0</v>
      </c>
      <c r="B182" s="2" t="s">
        <v>308</v>
      </c>
      <c r="C182" s="3" t="s">
        <v>12</v>
      </c>
      <c r="D182" s="3">
        <v>21.0</v>
      </c>
      <c r="E182" s="5">
        <f>IFERROR(__xludf.DUMMYFUNCTION("IF(B182="""", 0, COUNTA(SPLIT(TRIM(B182), "" "")))"),75.0)</f>
        <v>75</v>
      </c>
      <c r="F182" s="5">
        <f>IFERROR(__xludf.DUMMYFUNCTION("IF(C182="""", 0, COUNTA(SPLIT(TRIM(C182), "" "")))"),1.0)</f>
        <v>1</v>
      </c>
    </row>
    <row r="183">
      <c r="A183" s="4">
        <v>182.0</v>
      </c>
      <c r="B183" s="2" t="s">
        <v>325</v>
      </c>
      <c r="C183" s="3" t="s">
        <v>12</v>
      </c>
      <c r="D183" s="3">
        <v>10.0</v>
      </c>
      <c r="E183" s="5">
        <f>IFERROR(__xludf.DUMMYFUNCTION("IF(B183="""", 0, COUNTA(SPLIT(TRIM(B183), "" "")))"),17.0)</f>
        <v>17</v>
      </c>
      <c r="F183" s="5">
        <f>IFERROR(__xludf.DUMMYFUNCTION("IF(C183="""", 0, COUNTA(SPLIT(TRIM(C183), "" "")))"),1.0)</f>
        <v>1</v>
      </c>
    </row>
    <row r="184">
      <c r="A184" s="4">
        <v>183.0</v>
      </c>
      <c r="B184" s="2" t="s">
        <v>341</v>
      </c>
      <c r="C184" s="3" t="s">
        <v>10</v>
      </c>
      <c r="D184" s="3">
        <v>3.0</v>
      </c>
      <c r="E184" s="5">
        <f>IFERROR(__xludf.DUMMYFUNCTION("IF(B184="""", 0, COUNTA(SPLIT(TRIM(B184), "" "")))"),8.0)</f>
        <v>8</v>
      </c>
      <c r="F184" s="5">
        <f>IFERROR(__xludf.DUMMYFUNCTION("IF(C184="""", 0, COUNTA(SPLIT(TRIM(C184), "" "")))"),1.0)</f>
        <v>1</v>
      </c>
    </row>
    <row r="185">
      <c r="A185" s="4">
        <v>184.0</v>
      </c>
      <c r="B185" s="2" t="s">
        <v>357</v>
      </c>
      <c r="C185" s="3" t="s">
        <v>10</v>
      </c>
      <c r="D185" s="3">
        <v>10.0</v>
      </c>
      <c r="E185" s="5">
        <f>IFERROR(__xludf.DUMMYFUNCTION("IF(B185="""", 0, COUNTA(SPLIT(TRIM(B185), "" "")))"),13.0)</f>
        <v>13</v>
      </c>
      <c r="F185" s="5">
        <f>IFERROR(__xludf.DUMMYFUNCTION("IF(C185="""", 0, COUNTA(SPLIT(TRIM(C185), "" "")))"),1.0)</f>
        <v>1</v>
      </c>
    </row>
    <row r="186">
      <c r="A186" s="4">
        <v>185.0</v>
      </c>
      <c r="B186" s="2" t="s">
        <v>369</v>
      </c>
      <c r="C186" s="3" t="s">
        <v>10</v>
      </c>
      <c r="D186" s="3">
        <v>88.0</v>
      </c>
      <c r="E186" s="5">
        <f>IFERROR(__xludf.DUMMYFUNCTION("IF(B186="""", 0, COUNTA(SPLIT(TRIM(B186), "" "")))"),6.0)</f>
        <v>6</v>
      </c>
      <c r="F186" s="5">
        <f>IFERROR(__xludf.DUMMYFUNCTION("IF(C186="""", 0, COUNTA(SPLIT(TRIM(C186), "" "")))"),1.0)</f>
        <v>1</v>
      </c>
    </row>
    <row r="187">
      <c r="A187" s="4">
        <v>186.0</v>
      </c>
      <c r="B187" s="2" t="s">
        <v>385</v>
      </c>
      <c r="C187" s="3" t="s">
        <v>12</v>
      </c>
      <c r="D187" s="3">
        <v>94.0</v>
      </c>
      <c r="E187" s="5">
        <f>IFERROR(__xludf.DUMMYFUNCTION("IF(B187="""", 0, COUNTA(SPLIT(TRIM(B187), "" "")))"),11.0)</f>
        <v>11</v>
      </c>
      <c r="F187" s="5">
        <f>IFERROR(__xludf.DUMMYFUNCTION("IF(C187="""", 0, COUNTA(SPLIT(TRIM(C187), "" "")))"),1.0)</f>
        <v>1</v>
      </c>
    </row>
    <row r="188">
      <c r="A188" s="4">
        <v>187.0</v>
      </c>
      <c r="B188" s="2" t="s">
        <v>403</v>
      </c>
      <c r="C188" s="3" t="s">
        <v>12</v>
      </c>
      <c r="D188" s="3">
        <v>9.0</v>
      </c>
      <c r="E188" s="5">
        <f>IFERROR(__xludf.DUMMYFUNCTION("IF(B188="""", 0, COUNTA(SPLIT(TRIM(B188), "" "")))"),16.0)</f>
        <v>16</v>
      </c>
      <c r="F188" s="5">
        <f>IFERROR(__xludf.DUMMYFUNCTION("IF(C188="""", 0, COUNTA(SPLIT(TRIM(C188), "" "")))"),1.0)</f>
        <v>1</v>
      </c>
    </row>
    <row r="189">
      <c r="A189" s="4">
        <v>188.0</v>
      </c>
      <c r="B189" s="2" t="s">
        <v>413</v>
      </c>
      <c r="C189" s="3" t="s">
        <v>12</v>
      </c>
      <c r="D189" s="3">
        <v>13.0</v>
      </c>
      <c r="E189" s="5">
        <f>IFERROR(__xludf.DUMMYFUNCTION("IF(B189="""", 0, COUNTA(SPLIT(TRIM(B189), "" "")))"),10.0)</f>
        <v>10</v>
      </c>
      <c r="F189" s="5">
        <f>IFERROR(__xludf.DUMMYFUNCTION("IF(C189="""", 0, COUNTA(SPLIT(TRIM(C189), "" "")))"),1.0)</f>
        <v>1</v>
      </c>
    </row>
    <row r="190">
      <c r="A190" s="4">
        <v>189.0</v>
      </c>
      <c r="B190" s="2" t="s">
        <v>433</v>
      </c>
      <c r="C190" s="3" t="s">
        <v>12</v>
      </c>
      <c r="D190" s="3">
        <v>3.0</v>
      </c>
      <c r="E190" s="5">
        <f>IFERROR(__xludf.DUMMYFUNCTION("IF(B190="""", 0, COUNTA(SPLIT(TRIM(B190), "" "")))"),19.0)</f>
        <v>19</v>
      </c>
      <c r="F190" s="5">
        <f>IFERROR(__xludf.DUMMYFUNCTION("IF(C190="""", 0, COUNTA(SPLIT(TRIM(C190), "" "")))"),1.0)</f>
        <v>1</v>
      </c>
    </row>
    <row r="191">
      <c r="A191" s="4">
        <v>190.0</v>
      </c>
      <c r="B191" s="2" t="s">
        <v>451</v>
      </c>
      <c r="C191" s="3" t="s">
        <v>10</v>
      </c>
      <c r="D191" s="3">
        <v>87.0</v>
      </c>
      <c r="E191" s="5">
        <f>IFERROR(__xludf.DUMMYFUNCTION("IF(B191="""", 0, COUNTA(SPLIT(TRIM(B191), "" "")))"),14.0)</f>
        <v>14</v>
      </c>
      <c r="F191" s="5">
        <f>IFERROR(__xludf.DUMMYFUNCTION("IF(C191="""", 0, COUNTA(SPLIT(TRIM(C191), "" "")))"),1.0)</f>
        <v>1</v>
      </c>
    </row>
    <row r="192">
      <c r="A192" s="4">
        <v>191.0</v>
      </c>
      <c r="B192" s="2" t="s">
        <v>467</v>
      </c>
      <c r="C192" s="3" t="s">
        <v>12</v>
      </c>
      <c r="D192" s="3">
        <v>85.0</v>
      </c>
      <c r="E192" s="5">
        <f>IFERROR(__xludf.DUMMYFUNCTION("IF(B192="""", 0, COUNTA(SPLIT(TRIM(B192), "" "")))"),11.0)</f>
        <v>11</v>
      </c>
      <c r="F192" s="5">
        <f>IFERROR(__xludf.DUMMYFUNCTION("IF(C192="""", 0, COUNTA(SPLIT(TRIM(C192), "" "")))"),1.0)</f>
        <v>1</v>
      </c>
    </row>
    <row r="193">
      <c r="A193" s="4">
        <v>192.0</v>
      </c>
      <c r="B193" s="2" t="s">
        <v>478</v>
      </c>
      <c r="C193" s="3" t="s">
        <v>10</v>
      </c>
      <c r="D193" s="3">
        <v>5.0</v>
      </c>
      <c r="E193" s="5">
        <f>IFERROR(__xludf.DUMMYFUNCTION("IF(B193="""", 0, COUNTA(SPLIT(TRIM(B193), "" "")))"),12.0)</f>
        <v>12</v>
      </c>
      <c r="F193" s="5">
        <f>IFERROR(__xludf.DUMMYFUNCTION("IF(C193="""", 0, COUNTA(SPLIT(TRIM(C193), "" "")))"),1.0)</f>
        <v>1</v>
      </c>
    </row>
    <row r="194">
      <c r="A194" s="4">
        <v>193.0</v>
      </c>
      <c r="B194" s="2" t="s">
        <v>492</v>
      </c>
      <c r="C194" s="3" t="s">
        <v>10</v>
      </c>
      <c r="D194" s="3">
        <v>4.0</v>
      </c>
      <c r="E194" s="5">
        <f>IFERROR(__xludf.DUMMYFUNCTION("IF(B194="""", 0, COUNTA(SPLIT(TRIM(B194), "" "")))"),20.0)</f>
        <v>20</v>
      </c>
      <c r="F194" s="5">
        <f>IFERROR(__xludf.DUMMYFUNCTION("IF(C194="""", 0, COUNTA(SPLIT(TRIM(C194), "" "")))"),1.0)</f>
        <v>1</v>
      </c>
    </row>
    <row r="195">
      <c r="A195" s="4">
        <v>194.0</v>
      </c>
      <c r="B195" s="2" t="s">
        <v>504</v>
      </c>
      <c r="C195" s="3" t="s">
        <v>12</v>
      </c>
      <c r="D195" s="3">
        <v>16.0</v>
      </c>
      <c r="E195" s="5">
        <f>IFERROR(__xludf.DUMMYFUNCTION("IF(B195="""", 0, COUNTA(SPLIT(TRIM(B195), "" "")))"),9.0)</f>
        <v>9</v>
      </c>
      <c r="F195" s="5">
        <f>IFERROR(__xludf.DUMMYFUNCTION("IF(C195="""", 0, COUNTA(SPLIT(TRIM(C195), "" "")))"),1.0)</f>
        <v>1</v>
      </c>
    </row>
    <row r="196">
      <c r="A196" s="4">
        <v>195.0</v>
      </c>
      <c r="B196" s="2" t="s">
        <v>520</v>
      </c>
      <c r="C196" s="3" t="s">
        <v>10</v>
      </c>
      <c r="D196" s="3">
        <v>41.0</v>
      </c>
      <c r="E196" s="5">
        <f>IFERROR(__xludf.DUMMYFUNCTION("IF(B196="""", 0, COUNTA(SPLIT(TRIM(B196), "" "")))"),15.0)</f>
        <v>15</v>
      </c>
      <c r="F196" s="5">
        <f>IFERROR(__xludf.DUMMYFUNCTION("IF(C196="""", 0, COUNTA(SPLIT(TRIM(C196), "" "")))"),1.0)</f>
        <v>1</v>
      </c>
    </row>
    <row r="197">
      <c r="A197" s="4">
        <v>196.0</v>
      </c>
      <c r="B197" s="2" t="s">
        <v>530</v>
      </c>
      <c r="C197" s="3" t="s">
        <v>12</v>
      </c>
      <c r="D197" s="3">
        <v>77.0</v>
      </c>
      <c r="E197" s="5">
        <f>IFERROR(__xludf.DUMMYFUNCTION("IF(B197="""", 0, COUNTA(SPLIT(TRIM(B197), "" "")))"),10.0)</f>
        <v>10</v>
      </c>
      <c r="F197" s="5">
        <f>IFERROR(__xludf.DUMMYFUNCTION("IF(C197="""", 0, COUNTA(SPLIT(TRIM(C197), "" "")))"),1.0)</f>
        <v>1</v>
      </c>
    </row>
    <row r="198">
      <c r="A198" s="54">
        <v>197.0</v>
      </c>
      <c r="B198" s="50" t="s">
        <v>544</v>
      </c>
      <c r="C198" s="3" t="s">
        <v>10</v>
      </c>
      <c r="D198" s="3">
        <v>4.0</v>
      </c>
      <c r="E198" s="5">
        <f>IFERROR(__xludf.DUMMYFUNCTION("IF(B198="""", 0, COUNTA(SPLIT(TRIM(B198), "" "")))"),9.0)</f>
        <v>9</v>
      </c>
      <c r="F198" s="5">
        <f>IFERROR(__xludf.DUMMYFUNCTION("IF(C198="""", 0, COUNTA(SPLIT(TRIM(C198), "" "")))"),1.0)</f>
        <v>1</v>
      </c>
    </row>
    <row r="199">
      <c r="A199" s="4">
        <v>198.0</v>
      </c>
      <c r="B199" s="2" t="s">
        <v>309</v>
      </c>
      <c r="C199" s="3" t="s">
        <v>12</v>
      </c>
      <c r="D199" s="3">
        <v>61.0</v>
      </c>
      <c r="E199" s="5">
        <f>IFERROR(__xludf.DUMMYFUNCTION("IF(B199="""", 0, COUNTA(SPLIT(TRIM(B199), "" "")))"),73.0)</f>
        <v>73</v>
      </c>
      <c r="F199" s="5">
        <f>IFERROR(__xludf.DUMMYFUNCTION("IF(C199="""", 0, COUNTA(SPLIT(TRIM(C199), "" "")))"),1.0)</f>
        <v>1</v>
      </c>
    </row>
    <row r="200">
      <c r="A200" s="4">
        <v>199.0</v>
      </c>
      <c r="B200" s="2" t="s">
        <v>327</v>
      </c>
      <c r="C200" s="3" t="s">
        <v>10</v>
      </c>
      <c r="D200" s="3">
        <v>20.0</v>
      </c>
      <c r="E200" s="5">
        <f>IFERROR(__xludf.DUMMYFUNCTION("IF(B200="""", 0, COUNTA(SPLIT(TRIM(B200), "" "")))"),23.0)</f>
        <v>23</v>
      </c>
      <c r="F200" s="5">
        <f>IFERROR(__xludf.DUMMYFUNCTION("IF(C200="""", 0, COUNTA(SPLIT(TRIM(C200), "" "")))"),1.0)</f>
        <v>1</v>
      </c>
    </row>
    <row r="201">
      <c r="A201" s="4">
        <v>200.0</v>
      </c>
      <c r="B201" s="2" t="s">
        <v>342</v>
      </c>
      <c r="C201" s="3" t="s">
        <v>12</v>
      </c>
      <c r="D201" s="3">
        <v>3.0</v>
      </c>
      <c r="E201" s="5">
        <f>IFERROR(__xludf.DUMMYFUNCTION("IF(B201="""", 0, COUNTA(SPLIT(TRIM(B201), "" "")))"),10.0)</f>
        <v>10</v>
      </c>
      <c r="F201" s="5">
        <f>IFERROR(__xludf.DUMMYFUNCTION("IF(C201="""", 0, COUNTA(SPLIT(TRIM(C201), "" "")))"),1.0)</f>
        <v>1</v>
      </c>
    </row>
    <row r="202">
      <c r="A202" s="4">
        <v>201.0</v>
      </c>
      <c r="B202" s="2" t="s">
        <v>359</v>
      </c>
      <c r="C202" s="3" t="s">
        <v>10</v>
      </c>
      <c r="D202" s="3">
        <v>10.0</v>
      </c>
      <c r="E202" s="5">
        <f>IFERROR(__xludf.DUMMYFUNCTION("IF(B202="""", 0, COUNTA(SPLIT(TRIM(B202), "" "")))"),9.0)</f>
        <v>9</v>
      </c>
      <c r="F202" s="5">
        <f>IFERROR(__xludf.DUMMYFUNCTION("IF(C202="""", 0, COUNTA(SPLIT(TRIM(C202), "" "")))"),1.0)</f>
        <v>1</v>
      </c>
    </row>
    <row r="203">
      <c r="A203" s="4">
        <v>202.0</v>
      </c>
      <c r="B203" s="2" t="s">
        <v>370</v>
      </c>
      <c r="C203" s="3" t="s">
        <v>12</v>
      </c>
      <c r="D203" s="3">
        <v>98.0</v>
      </c>
      <c r="E203" s="5">
        <f>IFERROR(__xludf.DUMMYFUNCTION("IF(B203="""", 0, COUNTA(SPLIT(TRIM(B203), "" "")))"),8.0)</f>
        <v>8</v>
      </c>
      <c r="F203" s="5">
        <f>IFERROR(__xludf.DUMMYFUNCTION("IF(C203="""", 0, COUNTA(SPLIT(TRIM(C203), "" "")))"),1.0)</f>
        <v>1</v>
      </c>
    </row>
    <row r="204">
      <c r="A204" s="4">
        <v>203.0</v>
      </c>
      <c r="B204" s="2" t="s">
        <v>387</v>
      </c>
      <c r="C204" s="3" t="s">
        <v>12</v>
      </c>
      <c r="D204" s="3">
        <v>44.0</v>
      </c>
      <c r="E204" s="5">
        <f>IFERROR(__xludf.DUMMYFUNCTION("IF(B204="""", 0, COUNTA(SPLIT(TRIM(B204), "" "")))"),10.0)</f>
        <v>10</v>
      </c>
      <c r="F204" s="5">
        <f>IFERROR(__xludf.DUMMYFUNCTION("IF(C204="""", 0, COUNTA(SPLIT(TRIM(C204), "" "")))"),1.0)</f>
        <v>1</v>
      </c>
    </row>
    <row r="205">
      <c r="A205" s="4">
        <v>204.0</v>
      </c>
      <c r="B205" s="2" t="s">
        <v>404</v>
      </c>
      <c r="C205" s="3" t="s">
        <v>10</v>
      </c>
      <c r="D205" s="3">
        <v>19.0</v>
      </c>
      <c r="E205" s="5">
        <f>IFERROR(__xludf.DUMMYFUNCTION("IF(B205="""", 0, COUNTA(SPLIT(TRIM(B205), "" "")))"),15.0)</f>
        <v>15</v>
      </c>
      <c r="F205" s="5">
        <f>IFERROR(__xludf.DUMMYFUNCTION("IF(C205="""", 0, COUNTA(SPLIT(TRIM(C205), "" "")))"),1.0)</f>
        <v>1</v>
      </c>
    </row>
    <row r="206">
      <c r="A206" s="4">
        <v>205.0</v>
      </c>
      <c r="B206" s="2" t="s">
        <v>415</v>
      </c>
      <c r="C206" s="3" t="s">
        <v>12</v>
      </c>
      <c r="D206" s="3">
        <v>3.0</v>
      </c>
      <c r="E206" s="5">
        <f>IFERROR(__xludf.DUMMYFUNCTION("IF(B206="""", 0, COUNTA(SPLIT(TRIM(B206), "" "")))"),16.0)</f>
        <v>16</v>
      </c>
      <c r="F206" s="5">
        <f>IFERROR(__xludf.DUMMYFUNCTION("IF(C206="""", 0, COUNTA(SPLIT(TRIM(C206), "" "")))"),1.0)</f>
        <v>1</v>
      </c>
    </row>
    <row r="207">
      <c r="A207" s="4">
        <v>206.0</v>
      </c>
      <c r="B207" s="2" t="s">
        <v>434</v>
      </c>
      <c r="C207" s="3" t="s">
        <v>12</v>
      </c>
      <c r="D207" s="3">
        <v>73.0</v>
      </c>
      <c r="E207" s="5">
        <f>IFERROR(__xludf.DUMMYFUNCTION("IF(B207="""", 0, COUNTA(SPLIT(TRIM(B207), "" "")))"),29.0)</f>
        <v>29</v>
      </c>
      <c r="F207" s="5">
        <f>IFERROR(__xludf.DUMMYFUNCTION("IF(C207="""", 0, COUNTA(SPLIT(TRIM(C207), "" "")))"),1.0)</f>
        <v>1</v>
      </c>
    </row>
    <row r="208">
      <c r="A208" s="4">
        <v>207.0</v>
      </c>
      <c r="B208" s="2" t="s">
        <v>452</v>
      </c>
      <c r="C208" s="3" t="s">
        <v>10</v>
      </c>
      <c r="D208" s="3">
        <v>67.0</v>
      </c>
      <c r="E208" s="5">
        <f>IFERROR(__xludf.DUMMYFUNCTION("IF(B208="""", 0, COUNTA(SPLIT(TRIM(B208), "" "")))"),11.0)</f>
        <v>11</v>
      </c>
      <c r="F208" s="5">
        <f>IFERROR(__xludf.DUMMYFUNCTION("IF(C208="""", 0, COUNTA(SPLIT(TRIM(C208), "" "")))"),1.0)</f>
        <v>1</v>
      </c>
    </row>
    <row r="209">
      <c r="A209" s="4">
        <v>208.0</v>
      </c>
      <c r="B209" s="2" t="s">
        <v>468</v>
      </c>
      <c r="C209" s="3" t="s">
        <v>10</v>
      </c>
      <c r="D209" s="3">
        <v>75.0</v>
      </c>
      <c r="E209" s="5">
        <f>IFERROR(__xludf.DUMMYFUNCTION("IF(B209="""", 0, COUNTA(SPLIT(TRIM(B209), "" "")))"),17.0)</f>
        <v>17</v>
      </c>
      <c r="F209" s="5">
        <f>IFERROR(__xludf.DUMMYFUNCTION("IF(C209="""", 0, COUNTA(SPLIT(TRIM(C209), "" "")))"),1.0)</f>
        <v>1</v>
      </c>
    </row>
    <row r="210">
      <c r="A210" s="4">
        <v>209.0</v>
      </c>
      <c r="B210" s="2" t="s">
        <v>479</v>
      </c>
      <c r="C210" s="3" t="s">
        <v>12</v>
      </c>
      <c r="D210" s="3">
        <v>5.0</v>
      </c>
      <c r="E210" s="5">
        <f>IFERROR(__xludf.DUMMYFUNCTION("IF(B210="""", 0, COUNTA(SPLIT(TRIM(B210), "" "")))"),16.0)</f>
        <v>16</v>
      </c>
      <c r="F210" s="5">
        <f>IFERROR(__xludf.DUMMYFUNCTION("IF(C210="""", 0, COUNTA(SPLIT(TRIM(C210), "" "")))"),1.0)</f>
        <v>1</v>
      </c>
    </row>
    <row r="211">
      <c r="A211" s="4">
        <v>210.0</v>
      </c>
      <c r="B211" s="2" t="s">
        <v>493</v>
      </c>
      <c r="C211" s="3" t="s">
        <v>12</v>
      </c>
      <c r="D211" s="3">
        <v>14.0</v>
      </c>
      <c r="E211" s="5">
        <f>IFERROR(__xludf.DUMMYFUNCTION("IF(B211="""", 0, COUNTA(SPLIT(TRIM(B211), "" "")))"),13.0)</f>
        <v>13</v>
      </c>
      <c r="F211" s="5">
        <f>IFERROR(__xludf.DUMMYFUNCTION("IF(C211="""", 0, COUNTA(SPLIT(TRIM(C211), "" "")))"),1.0)</f>
        <v>1</v>
      </c>
    </row>
    <row r="212">
      <c r="A212" s="4">
        <v>211.0</v>
      </c>
      <c r="B212" s="2" t="s">
        <v>505</v>
      </c>
      <c r="C212" s="3" t="s">
        <v>12</v>
      </c>
      <c r="D212" s="3">
        <v>6.0</v>
      </c>
      <c r="E212" s="5">
        <f>IFERROR(__xludf.DUMMYFUNCTION("IF(B212="""", 0, COUNTA(SPLIT(TRIM(B212), "" "")))"),11.0)</f>
        <v>11</v>
      </c>
      <c r="F212" s="5">
        <f>IFERROR(__xludf.DUMMYFUNCTION("IF(C212="""", 0, COUNTA(SPLIT(TRIM(C212), "" "")))"),1.0)</f>
        <v>1</v>
      </c>
    </row>
    <row r="213">
      <c r="A213" s="4">
        <v>212.0</v>
      </c>
      <c r="B213" s="2" t="s">
        <v>521</v>
      </c>
      <c r="C213" s="3" t="s">
        <v>12</v>
      </c>
      <c r="D213" s="3">
        <v>61.0</v>
      </c>
      <c r="E213" s="5">
        <f>IFERROR(__xludf.DUMMYFUNCTION("IF(B213="""", 0, COUNTA(SPLIT(TRIM(B213), "" "")))"),16.0)</f>
        <v>16</v>
      </c>
      <c r="F213" s="5">
        <f>IFERROR(__xludf.DUMMYFUNCTION("IF(C213="""", 0, COUNTA(SPLIT(TRIM(C213), "" "")))"),1.0)</f>
        <v>1</v>
      </c>
    </row>
    <row r="214">
      <c r="A214" s="4">
        <v>213.0</v>
      </c>
      <c r="B214" s="2" t="s">
        <v>531</v>
      </c>
      <c r="C214" s="3" t="s">
        <v>12</v>
      </c>
      <c r="D214" s="3">
        <v>97.0</v>
      </c>
      <c r="E214" s="5">
        <f>IFERROR(__xludf.DUMMYFUNCTION("IF(B214="""", 0, COUNTA(SPLIT(TRIM(B214), "" "")))"),20.0)</f>
        <v>20</v>
      </c>
      <c r="F214" s="5">
        <f>IFERROR(__xludf.DUMMYFUNCTION("IF(C214="""", 0, COUNTA(SPLIT(TRIM(C214), "" "")))"),1.0)</f>
        <v>1</v>
      </c>
    </row>
    <row r="215">
      <c r="A215" s="16">
        <v>214.0</v>
      </c>
      <c r="B215" s="17" t="s">
        <v>545</v>
      </c>
      <c r="C215" s="3" t="s">
        <v>12</v>
      </c>
      <c r="D215" s="3">
        <v>14.0</v>
      </c>
      <c r="E215" s="5">
        <f>IFERROR(__xludf.DUMMYFUNCTION("IF(B215="""", 0, COUNTA(SPLIT(TRIM(B215), "" "")))"),6.0)</f>
        <v>6</v>
      </c>
      <c r="F215" s="5">
        <f>IFERROR(__xludf.DUMMYFUNCTION("IF(C215="""", 0, COUNTA(SPLIT(TRIM(C215), "" "")))"),1.0)</f>
        <v>1</v>
      </c>
    </row>
    <row r="216">
      <c r="A216" s="4">
        <v>215.0</v>
      </c>
      <c r="B216" s="2" t="s">
        <v>311</v>
      </c>
      <c r="C216" s="3" t="s">
        <v>12</v>
      </c>
      <c r="D216" s="3">
        <v>81.0</v>
      </c>
      <c r="E216" s="5">
        <f>IFERROR(__xludf.DUMMYFUNCTION("IF(B216="""", 0, COUNTA(SPLIT(TRIM(B216), "" "")))"),56.0)</f>
        <v>56</v>
      </c>
      <c r="F216" s="5">
        <f>IFERROR(__xludf.DUMMYFUNCTION("IF(C216="""", 0, COUNTA(SPLIT(TRIM(C216), "" "")))"),1.0)</f>
        <v>1</v>
      </c>
    </row>
    <row r="217">
      <c r="A217" s="4">
        <v>216.0</v>
      </c>
      <c r="B217" s="2" t="s">
        <v>328</v>
      </c>
      <c r="C217" s="3" t="s">
        <v>12</v>
      </c>
      <c r="D217" s="3">
        <v>30.0</v>
      </c>
      <c r="E217" s="5">
        <f>IFERROR(__xludf.DUMMYFUNCTION("IF(B217="""", 0, COUNTA(SPLIT(TRIM(B217), "" "")))"),26.0)</f>
        <v>26</v>
      </c>
      <c r="F217" s="5">
        <f>IFERROR(__xludf.DUMMYFUNCTION("IF(C217="""", 0, COUNTA(SPLIT(TRIM(C217), "" "")))"),1.0)</f>
        <v>1</v>
      </c>
    </row>
    <row r="218">
      <c r="A218" s="4">
        <v>217.0</v>
      </c>
      <c r="B218" s="2" t="s">
        <v>343</v>
      </c>
      <c r="C218" s="3" t="s">
        <v>10</v>
      </c>
      <c r="D218" s="3">
        <v>13.0</v>
      </c>
      <c r="E218" s="5">
        <f>IFERROR(__xludf.DUMMYFUNCTION("IF(B218="""", 0, COUNTA(SPLIT(TRIM(B218), "" "")))"),14.0)</f>
        <v>14</v>
      </c>
      <c r="F218" s="5">
        <f>IFERROR(__xludf.DUMMYFUNCTION("IF(C218="""", 0, COUNTA(SPLIT(TRIM(C218), "" "")))"),1.0)</f>
        <v>1</v>
      </c>
    </row>
    <row r="219">
      <c r="A219" s="4">
        <v>218.0</v>
      </c>
      <c r="B219" s="2" t="s">
        <v>371</v>
      </c>
      <c r="C219" s="3" t="s">
        <v>10</v>
      </c>
      <c r="D219" s="3">
        <v>78.0</v>
      </c>
      <c r="E219" s="5">
        <f>IFERROR(__xludf.DUMMYFUNCTION("IF(B219="""", 0, COUNTA(SPLIT(TRIM(B219), "" "")))"),17.0)</f>
        <v>17</v>
      </c>
      <c r="F219" s="5">
        <f>IFERROR(__xludf.DUMMYFUNCTION("IF(C219="""", 0, COUNTA(SPLIT(TRIM(C219), "" "")))"),1.0)</f>
        <v>1</v>
      </c>
    </row>
    <row r="220">
      <c r="A220" s="4">
        <v>219.0</v>
      </c>
      <c r="B220" s="2" t="s">
        <v>417</v>
      </c>
      <c r="C220" s="3" t="s">
        <v>10</v>
      </c>
      <c r="D220" s="3">
        <v>23.0</v>
      </c>
      <c r="E220" s="5">
        <f>IFERROR(__xludf.DUMMYFUNCTION("IF(B220="""", 0, COUNTA(SPLIT(TRIM(B220), "" "")))"),18.0)</f>
        <v>18</v>
      </c>
      <c r="F220" s="5">
        <f>IFERROR(__xludf.DUMMYFUNCTION("IF(C220="""", 0, COUNTA(SPLIT(TRIM(C220), "" "")))"),1.0)</f>
        <v>1</v>
      </c>
    </row>
    <row r="221">
      <c r="A221" s="4">
        <v>220.0</v>
      </c>
      <c r="B221" s="2" t="s">
        <v>436</v>
      </c>
      <c r="C221" s="3" t="s">
        <v>12</v>
      </c>
      <c r="D221" s="3">
        <v>23.0</v>
      </c>
      <c r="E221" s="5">
        <f>IFERROR(__xludf.DUMMYFUNCTION("IF(B221="""", 0, COUNTA(SPLIT(TRIM(B221), "" "")))"),19.0)</f>
        <v>19</v>
      </c>
      <c r="F221" s="5">
        <f>IFERROR(__xludf.DUMMYFUNCTION("IF(C221="""", 0, COUNTA(SPLIT(TRIM(C221), "" "")))"),1.0)</f>
        <v>1</v>
      </c>
    </row>
    <row r="222">
      <c r="A222" s="4">
        <v>221.0</v>
      </c>
      <c r="B222" s="2" t="s">
        <v>454</v>
      </c>
      <c r="C222" s="3" t="s">
        <v>12</v>
      </c>
      <c r="D222" s="3">
        <v>97.0</v>
      </c>
      <c r="E222" s="5">
        <f>IFERROR(__xludf.DUMMYFUNCTION("IF(B222="""", 0, COUNTA(SPLIT(TRIM(B222), "" "")))"),5.0)</f>
        <v>5</v>
      </c>
      <c r="F222" s="5">
        <f>IFERROR(__xludf.DUMMYFUNCTION("IF(C222="""", 0, COUNTA(SPLIT(TRIM(C222), "" "")))"),1.0)</f>
        <v>1</v>
      </c>
    </row>
    <row r="223">
      <c r="A223" s="4">
        <v>222.0</v>
      </c>
      <c r="B223" s="2" t="s">
        <v>480</v>
      </c>
      <c r="C223" s="3" t="s">
        <v>10</v>
      </c>
      <c r="D223" s="3">
        <v>15.0</v>
      </c>
      <c r="E223" s="5">
        <f>IFERROR(__xludf.DUMMYFUNCTION("IF(B223="""", 0, COUNTA(SPLIT(TRIM(B223), "" "")))"),22.0)</f>
        <v>22</v>
      </c>
      <c r="F223" s="5">
        <f>IFERROR(__xludf.DUMMYFUNCTION("IF(C223="""", 0, COUNTA(SPLIT(TRIM(C223), "" "")))"),1.0)</f>
        <v>1</v>
      </c>
    </row>
    <row r="224">
      <c r="A224" s="4">
        <v>223.0</v>
      </c>
      <c r="B224" s="2" t="s">
        <v>506</v>
      </c>
      <c r="C224" s="3" t="s">
        <v>12</v>
      </c>
      <c r="D224" s="3">
        <v>6.0</v>
      </c>
      <c r="E224" s="5">
        <f>IFERROR(__xludf.DUMMYFUNCTION("IF(B224="""", 0, COUNTA(SPLIT(TRIM(B224), "" "")))"),12.0)</f>
        <v>12</v>
      </c>
      <c r="F224" s="5">
        <f>IFERROR(__xludf.DUMMYFUNCTION("IF(C224="""", 0, COUNTA(SPLIT(TRIM(C224), "" "")))"),1.0)</f>
        <v>1</v>
      </c>
    </row>
    <row r="225">
      <c r="A225" s="4">
        <v>224.0</v>
      </c>
      <c r="B225" s="2" t="s">
        <v>532</v>
      </c>
      <c r="C225" s="3" t="s">
        <v>12</v>
      </c>
      <c r="D225" s="3">
        <v>87.0</v>
      </c>
      <c r="E225" s="5">
        <f>IFERROR(__xludf.DUMMYFUNCTION("IF(B225="""", 0, COUNTA(SPLIT(TRIM(B225), "" "")))"),13.0)</f>
        <v>13</v>
      </c>
      <c r="F225" s="5">
        <f>IFERROR(__xludf.DUMMYFUNCTION("IF(C225="""", 0, COUNTA(SPLIT(TRIM(C225), "" "")))"),1.0)</f>
        <v>1</v>
      </c>
    </row>
    <row r="226">
      <c r="A226" s="16">
        <v>225.0</v>
      </c>
      <c r="B226" s="17" t="s">
        <v>546</v>
      </c>
      <c r="C226" s="3" t="s">
        <v>12</v>
      </c>
      <c r="D226" s="3">
        <v>74.0</v>
      </c>
      <c r="E226" s="5">
        <f>IFERROR(__xludf.DUMMYFUNCTION("IF(B226="""", 0, COUNTA(SPLIT(TRIM(B226), "" "")))"),7.0)</f>
        <v>7</v>
      </c>
      <c r="F226" s="5">
        <f>IFERROR(__xludf.DUMMYFUNCTION("IF(C226="""", 0, COUNTA(SPLIT(TRIM(C226), "" "")))"),1.0)</f>
        <v>1</v>
      </c>
    </row>
    <row r="227">
      <c r="A227" s="4">
        <v>226.0</v>
      </c>
      <c r="B227" s="2" t="s">
        <v>559</v>
      </c>
      <c r="C227" s="3" t="s">
        <v>56</v>
      </c>
      <c r="D227" s="3">
        <v>1.0</v>
      </c>
      <c r="E227" s="5">
        <f>IFERROR(__xludf.DUMMYFUNCTION("IF(B227="""", 0, COUNTA(SPLIT(TRIM(B227), "" "")))"),30.0)</f>
        <v>30</v>
      </c>
      <c r="F227" s="5">
        <f>IFERROR(__xludf.DUMMYFUNCTION("IF(C227="""", 0, COUNTA(SPLIT(TRIM(C227), "" "")))"),1.0)</f>
        <v>1</v>
      </c>
    </row>
    <row r="228">
      <c r="A228" s="4">
        <v>227.0</v>
      </c>
      <c r="B228" s="2" t="s">
        <v>560</v>
      </c>
      <c r="C228" s="3" t="s">
        <v>56</v>
      </c>
      <c r="D228" s="3">
        <v>50.0</v>
      </c>
      <c r="E228" s="5">
        <f>IFERROR(__xludf.DUMMYFUNCTION("IF(B228="""", 0, COUNTA(SPLIT(TRIM(B228), "" "")))"),81.0)</f>
        <v>81</v>
      </c>
      <c r="F228" s="5">
        <f>IFERROR(__xludf.DUMMYFUNCTION("IF(C228="""", 0, COUNTA(SPLIT(TRIM(C228), "" "")))"),1.0)</f>
        <v>1</v>
      </c>
    </row>
    <row r="229">
      <c r="A229" s="4">
        <v>228.0</v>
      </c>
      <c r="B229" s="2" t="s">
        <v>561</v>
      </c>
      <c r="C229" s="3" t="s">
        <v>35</v>
      </c>
      <c r="D229" s="3">
        <v>23.0</v>
      </c>
      <c r="E229" s="5">
        <f>IFERROR(__xludf.DUMMYFUNCTION("IF(B229="""", 0, COUNTA(SPLIT(TRIM(B229), "" "")))"),31.0)</f>
        <v>31</v>
      </c>
      <c r="F229" s="5">
        <f>IFERROR(__xludf.DUMMYFUNCTION("IF(C229="""", 0, COUNTA(SPLIT(TRIM(C229), "" "")))"),1.0)</f>
        <v>1</v>
      </c>
    </row>
    <row r="230">
      <c r="A230" s="4">
        <v>229.0</v>
      </c>
      <c r="B230" s="2" t="s">
        <v>562</v>
      </c>
      <c r="C230" s="3" t="s">
        <v>8</v>
      </c>
      <c r="D230" s="3">
        <v>20.0</v>
      </c>
      <c r="E230" s="5">
        <f>IFERROR(__xludf.DUMMYFUNCTION("IF(B230="""", 0, COUNTA(SPLIT(TRIM(B230), "" "")))"),25.0)</f>
        <v>25</v>
      </c>
      <c r="F230" s="5">
        <f>IFERROR(__xludf.DUMMYFUNCTION("IF(C230="""", 0, COUNTA(SPLIT(TRIM(C230), "" "")))"),1.0)</f>
        <v>1</v>
      </c>
    </row>
    <row r="231">
      <c r="A231" s="4">
        <v>230.0</v>
      </c>
      <c r="B231" s="2" t="s">
        <v>563</v>
      </c>
      <c r="C231" s="3" t="s">
        <v>17</v>
      </c>
      <c r="D231" s="3">
        <v>28.0</v>
      </c>
      <c r="E231" s="5">
        <f>IFERROR(__xludf.DUMMYFUNCTION("IF(B231="""", 0, COUNTA(SPLIT(TRIM(B231), "" "")))"),54.0)</f>
        <v>54</v>
      </c>
      <c r="F231" s="5">
        <f>IFERROR(__xludf.DUMMYFUNCTION("IF(C231="""", 0, COUNTA(SPLIT(TRIM(C231), "" "")))"),1.0)</f>
        <v>1</v>
      </c>
    </row>
    <row r="232">
      <c r="A232" s="4">
        <v>231.0</v>
      </c>
      <c r="B232" s="2" t="s">
        <v>564</v>
      </c>
      <c r="C232" s="3" t="s">
        <v>8</v>
      </c>
      <c r="D232" s="3">
        <v>54.0</v>
      </c>
      <c r="E232" s="5">
        <f>IFERROR(__xludf.DUMMYFUNCTION("IF(B232="""", 0, COUNTA(SPLIT(TRIM(B232), "" "")))"),35.0)</f>
        <v>35</v>
      </c>
      <c r="F232" s="5">
        <f>IFERROR(__xludf.DUMMYFUNCTION("IF(C232="""", 0, COUNTA(SPLIT(TRIM(C232), "" "")))"),1.0)</f>
        <v>1</v>
      </c>
    </row>
    <row r="233">
      <c r="A233" s="4">
        <v>232.0</v>
      </c>
      <c r="B233" s="2" t="s">
        <v>565</v>
      </c>
      <c r="C233" s="3" t="s">
        <v>77</v>
      </c>
      <c r="D233" s="3">
        <v>29.0</v>
      </c>
      <c r="E233" s="5">
        <f>IFERROR(__xludf.DUMMYFUNCTION("IF(B233="""", 0, COUNTA(SPLIT(TRIM(B233), "" "")))"),42.0)</f>
        <v>42</v>
      </c>
      <c r="F233" s="5">
        <f>IFERROR(__xludf.DUMMYFUNCTION("IF(C233="""", 0, COUNTA(SPLIT(TRIM(C233), "" "")))"),1.0)</f>
        <v>1</v>
      </c>
    </row>
    <row r="234">
      <c r="A234" s="4">
        <v>233.0</v>
      </c>
      <c r="B234" s="2" t="s">
        <v>566</v>
      </c>
      <c r="C234" s="3" t="s">
        <v>56</v>
      </c>
      <c r="D234" s="3">
        <v>43.0</v>
      </c>
      <c r="E234" s="5">
        <f>IFERROR(__xludf.DUMMYFUNCTION("IF(B234="""", 0, COUNTA(SPLIT(TRIM(B234), "" "")))"),26.0)</f>
        <v>26</v>
      </c>
      <c r="F234" s="5">
        <f>IFERROR(__xludf.DUMMYFUNCTION("IF(C234="""", 0, COUNTA(SPLIT(TRIM(C234), "" "")))"),1.0)</f>
        <v>1</v>
      </c>
    </row>
    <row r="235">
      <c r="A235" s="4">
        <v>234.0</v>
      </c>
      <c r="B235" s="2" t="s">
        <v>437</v>
      </c>
      <c r="C235" s="3" t="s">
        <v>8</v>
      </c>
      <c r="D235" s="3">
        <v>13.0</v>
      </c>
      <c r="E235" s="5">
        <f>IFERROR(__xludf.DUMMYFUNCTION("IF(B235="""", 0, COUNTA(SPLIT(TRIM(B235), "" "")))"),33.0)</f>
        <v>33</v>
      </c>
      <c r="F235" s="5">
        <f>IFERROR(__xludf.DUMMYFUNCTION("IF(C235="""", 0, COUNTA(SPLIT(TRIM(C235), "" "")))"),1.0)</f>
        <v>1</v>
      </c>
    </row>
    <row r="236">
      <c r="A236" s="4">
        <v>235.0</v>
      </c>
      <c r="B236" s="2" t="s">
        <v>455</v>
      </c>
      <c r="C236" s="3" t="s">
        <v>56</v>
      </c>
      <c r="D236" s="3">
        <v>17.0</v>
      </c>
      <c r="E236" s="5">
        <f>IFERROR(__xludf.DUMMYFUNCTION("IF(B236="""", 0, COUNTA(SPLIT(TRIM(B236), "" "")))"),36.0)</f>
        <v>36</v>
      </c>
      <c r="F236" s="5">
        <f>IFERROR(__xludf.DUMMYFUNCTION("IF(C236="""", 0, COUNTA(SPLIT(TRIM(C236), "" "")))"),1.0)</f>
        <v>1</v>
      </c>
    </row>
    <row r="237">
      <c r="A237" s="4">
        <v>236.0</v>
      </c>
      <c r="B237" s="2" t="s">
        <v>469</v>
      </c>
      <c r="C237" s="3" t="s">
        <v>147</v>
      </c>
      <c r="D237" s="3">
        <v>35.0</v>
      </c>
      <c r="E237" s="5">
        <f>IFERROR(__xludf.DUMMYFUNCTION("IF(B237="""", 0, COUNTA(SPLIT(TRIM(B237), "" "")))"),26.0)</f>
        <v>26</v>
      </c>
      <c r="F237" s="5">
        <f>IFERROR(__xludf.DUMMYFUNCTION("IF(C237="""", 0, COUNTA(SPLIT(TRIM(C237), "" "")))"),1.0)</f>
        <v>1</v>
      </c>
    </row>
    <row r="238">
      <c r="A238" s="4">
        <v>237.0</v>
      </c>
      <c r="B238" s="2" t="s">
        <v>481</v>
      </c>
      <c r="C238" s="3" t="s">
        <v>56</v>
      </c>
      <c r="D238" s="3">
        <v>25.0</v>
      </c>
      <c r="E238" s="5">
        <f>IFERROR(__xludf.DUMMYFUNCTION("IF(B238="""", 0, COUNTA(SPLIT(TRIM(B238), "" "")))"),27.0)</f>
        <v>27</v>
      </c>
      <c r="F238" s="5">
        <f>IFERROR(__xludf.DUMMYFUNCTION("IF(C238="""", 0, COUNTA(SPLIT(TRIM(C238), "" "")))"),1.0)</f>
        <v>1</v>
      </c>
    </row>
    <row r="239">
      <c r="A239" s="4">
        <v>238.0</v>
      </c>
      <c r="B239" s="2" t="s">
        <v>567</v>
      </c>
      <c r="C239" s="3" t="s">
        <v>17</v>
      </c>
      <c r="D239" s="3">
        <v>24.0</v>
      </c>
      <c r="E239" s="5">
        <f>IFERROR(__xludf.DUMMYFUNCTION("IF(B239="""", 0, COUNTA(SPLIT(TRIM(B239), "" "")))"),22.0)</f>
        <v>22</v>
      </c>
      <c r="F239" s="5">
        <f>IFERROR(__xludf.DUMMYFUNCTION("IF(C239="""", 0, COUNTA(SPLIT(TRIM(C239), "" "")))"),1.0)</f>
        <v>1</v>
      </c>
    </row>
    <row r="240">
      <c r="A240" s="4">
        <v>239.0</v>
      </c>
      <c r="B240" s="2" t="s">
        <v>568</v>
      </c>
      <c r="C240" s="3" t="s">
        <v>8</v>
      </c>
      <c r="D240" s="3">
        <v>4.0</v>
      </c>
      <c r="E240" s="5">
        <f>IFERROR(__xludf.DUMMYFUNCTION("IF(B240="""", 0, COUNTA(SPLIT(TRIM(B240), "" "")))"),38.0)</f>
        <v>38</v>
      </c>
      <c r="F240" s="5">
        <f>IFERROR(__xludf.DUMMYFUNCTION("IF(C240="""", 0, COUNTA(SPLIT(TRIM(C240), "" "")))"),1.0)</f>
        <v>1</v>
      </c>
    </row>
    <row r="241">
      <c r="A241" s="4">
        <v>240.0</v>
      </c>
      <c r="B241" s="2" t="s">
        <v>569</v>
      </c>
      <c r="C241" s="3" t="s">
        <v>8</v>
      </c>
      <c r="D241" s="3">
        <v>91.0</v>
      </c>
      <c r="E241" s="5">
        <f>IFERROR(__xludf.DUMMYFUNCTION("IF(B241="""", 0, COUNTA(SPLIT(TRIM(B241), "" "")))"),21.0)</f>
        <v>21</v>
      </c>
      <c r="F241" s="5">
        <f>IFERROR(__xludf.DUMMYFUNCTION("IF(C241="""", 0, COUNTA(SPLIT(TRIM(C241), "" "")))"),1.0)</f>
        <v>1</v>
      </c>
    </row>
    <row r="242">
      <c r="A242" s="4">
        <v>241.0</v>
      </c>
      <c r="B242" s="2" t="s">
        <v>570</v>
      </c>
      <c r="C242" s="3" t="s">
        <v>56</v>
      </c>
      <c r="D242" s="3">
        <v>77.0</v>
      </c>
      <c r="E242" s="5">
        <f>IFERROR(__xludf.DUMMYFUNCTION("IF(B242="""", 0, COUNTA(SPLIT(TRIM(B242), "" "")))"),114.0)</f>
        <v>114</v>
      </c>
      <c r="F242" s="5">
        <f>IFERROR(__xludf.DUMMYFUNCTION("IF(C242="""", 0, COUNTA(SPLIT(TRIM(C242), "" "")))"),1.0)</f>
        <v>1</v>
      </c>
    </row>
    <row r="243">
      <c r="A243" s="16">
        <v>242.0</v>
      </c>
      <c r="B243" s="24" t="s">
        <v>571</v>
      </c>
      <c r="C243" s="3" t="s">
        <v>147</v>
      </c>
      <c r="D243" s="3">
        <v>14.0</v>
      </c>
      <c r="E243" s="5">
        <f>IFERROR(__xludf.DUMMYFUNCTION("IF(B243="""", 0, COUNTA(SPLIT(TRIM(B243), "" "")))"),22.0)</f>
        <v>22</v>
      </c>
      <c r="F243" s="5">
        <f>IFERROR(__xludf.DUMMYFUNCTION("IF(C243="""", 0, COUNTA(SPLIT(TRIM(C243), "" "")))"),1.0)</f>
        <v>1</v>
      </c>
    </row>
    <row r="244">
      <c r="A244" s="4">
        <v>243.0</v>
      </c>
      <c r="B244" s="2" t="s">
        <v>572</v>
      </c>
      <c r="C244" s="3" t="s">
        <v>17</v>
      </c>
      <c r="D244" s="3">
        <v>71.0</v>
      </c>
      <c r="E244" s="5">
        <f>IFERROR(__xludf.DUMMYFUNCTION("IF(B244="""", 0, COUNTA(SPLIT(TRIM(B244), "" "")))"),142.0)</f>
        <v>142</v>
      </c>
      <c r="F244" s="5">
        <f>IFERROR(__xludf.DUMMYFUNCTION("IF(C244="""", 0, COUNTA(SPLIT(TRIM(C244), "" "")))"),1.0)</f>
        <v>1</v>
      </c>
    </row>
    <row r="245">
      <c r="A245" s="4">
        <v>244.0</v>
      </c>
      <c r="B245" s="2" t="s">
        <v>573</v>
      </c>
      <c r="C245" s="3" t="s">
        <v>17</v>
      </c>
      <c r="D245" s="3">
        <v>70.0</v>
      </c>
      <c r="E245" s="5">
        <f>IFERROR(__xludf.DUMMYFUNCTION("IF(B245="""", 0, COUNTA(SPLIT(TRIM(B245), "" "")))"),69.0)</f>
        <v>69</v>
      </c>
      <c r="F245" s="5">
        <f>IFERROR(__xludf.DUMMYFUNCTION("IF(C245="""", 0, COUNTA(SPLIT(TRIM(C245), "" "")))"),1.0)</f>
        <v>1</v>
      </c>
    </row>
    <row r="246">
      <c r="A246" s="4">
        <v>245.0</v>
      </c>
      <c r="B246" s="2" t="s">
        <v>574</v>
      </c>
      <c r="C246" s="3" t="s">
        <v>147</v>
      </c>
      <c r="D246" s="3">
        <v>23.0</v>
      </c>
      <c r="E246" s="5">
        <f>IFERROR(__xludf.DUMMYFUNCTION("IF(B246="""", 0, COUNTA(SPLIT(TRIM(B246), "" "")))"),32.0)</f>
        <v>32</v>
      </c>
      <c r="F246" s="5">
        <f>IFERROR(__xludf.DUMMYFUNCTION("IF(C246="""", 0, COUNTA(SPLIT(TRIM(C246), "" "")))"),1.0)</f>
        <v>1</v>
      </c>
    </row>
    <row r="247">
      <c r="A247" s="4">
        <v>246.0</v>
      </c>
      <c r="B247" s="2" t="s">
        <v>575</v>
      </c>
      <c r="C247" s="3" t="s">
        <v>8</v>
      </c>
      <c r="D247" s="3">
        <v>30.0</v>
      </c>
      <c r="E247" s="5">
        <f>IFERROR(__xludf.DUMMYFUNCTION("IF(B247="""", 0, COUNTA(SPLIT(TRIM(B247), "" "")))"),27.0)</f>
        <v>27</v>
      </c>
      <c r="F247" s="5">
        <f>IFERROR(__xludf.DUMMYFUNCTION("IF(C247="""", 0, COUNTA(SPLIT(TRIM(C247), "" "")))"),1.0)</f>
        <v>1</v>
      </c>
    </row>
    <row r="248">
      <c r="A248" s="4">
        <v>247.0</v>
      </c>
      <c r="B248" s="2" t="s">
        <v>576</v>
      </c>
      <c r="C248" s="3" t="s">
        <v>8</v>
      </c>
      <c r="D248" s="3">
        <v>48.0</v>
      </c>
      <c r="E248" s="5">
        <f>IFERROR(__xludf.DUMMYFUNCTION("IF(B248="""", 0, COUNTA(SPLIT(TRIM(B248), "" "")))"),27.0)</f>
        <v>27</v>
      </c>
      <c r="F248" s="5">
        <f>IFERROR(__xludf.DUMMYFUNCTION("IF(C248="""", 0, COUNTA(SPLIT(TRIM(C248), "" "")))"),1.0)</f>
        <v>1</v>
      </c>
    </row>
    <row r="249">
      <c r="A249" s="4">
        <v>248.0</v>
      </c>
      <c r="B249" s="2" t="s">
        <v>577</v>
      </c>
      <c r="C249" s="3" t="s">
        <v>56</v>
      </c>
      <c r="D249" s="3">
        <v>74.0</v>
      </c>
      <c r="E249" s="5">
        <f>IFERROR(__xludf.DUMMYFUNCTION("IF(B249="""", 0, COUNTA(SPLIT(TRIM(B249), "" "")))"),55.0)</f>
        <v>55</v>
      </c>
      <c r="F249" s="5">
        <f>IFERROR(__xludf.DUMMYFUNCTION("IF(C249="""", 0, COUNTA(SPLIT(TRIM(C249), "" "")))"),1.0)</f>
        <v>1</v>
      </c>
    </row>
    <row r="250">
      <c r="A250" s="4">
        <v>249.0</v>
      </c>
      <c r="B250" s="2" t="s">
        <v>578</v>
      </c>
      <c r="C250" s="3" t="s">
        <v>56</v>
      </c>
      <c r="D250" s="3">
        <v>39.0</v>
      </c>
      <c r="E250" s="5">
        <f>IFERROR(__xludf.DUMMYFUNCTION("IF(B250="""", 0, COUNTA(SPLIT(TRIM(B250), "" "")))"),49.0)</f>
        <v>49</v>
      </c>
      <c r="F250" s="5">
        <f>IFERROR(__xludf.DUMMYFUNCTION("IF(C250="""", 0, COUNTA(SPLIT(TRIM(C250), "" "")))"),1.0)</f>
        <v>1</v>
      </c>
    </row>
    <row r="251">
      <c r="A251" s="4">
        <v>250.0</v>
      </c>
      <c r="B251" s="2" t="s">
        <v>579</v>
      </c>
      <c r="C251" s="3" t="s">
        <v>35</v>
      </c>
      <c r="D251" s="3">
        <v>33.0</v>
      </c>
      <c r="E251" s="5">
        <f>IFERROR(__xludf.DUMMYFUNCTION("IF(B251="""", 0, COUNTA(SPLIT(TRIM(B251), "" "")))"),28.0)</f>
        <v>28</v>
      </c>
      <c r="F251" s="5">
        <f>IFERROR(__xludf.DUMMYFUNCTION("IF(C251="""", 0, COUNTA(SPLIT(TRIM(C251), "" "")))"),1.0)</f>
        <v>1</v>
      </c>
    </row>
    <row r="252">
      <c r="A252" s="4">
        <v>251.0</v>
      </c>
      <c r="B252" s="2" t="s">
        <v>438</v>
      </c>
      <c r="C252" s="3" t="s">
        <v>8</v>
      </c>
      <c r="D252" s="3">
        <v>3.0</v>
      </c>
      <c r="E252" s="5">
        <f>IFERROR(__xludf.DUMMYFUNCTION("IF(B252="""", 0, COUNTA(SPLIT(TRIM(B252), "" "")))"),30.0)</f>
        <v>30</v>
      </c>
      <c r="F252" s="5">
        <f>IFERROR(__xludf.DUMMYFUNCTION("IF(C252="""", 0, COUNTA(SPLIT(TRIM(C252), "" "")))"),1.0)</f>
        <v>1</v>
      </c>
    </row>
    <row r="253">
      <c r="A253" s="4">
        <v>252.0</v>
      </c>
      <c r="B253" s="2" t="s">
        <v>580</v>
      </c>
      <c r="C253" s="3" t="s">
        <v>56</v>
      </c>
      <c r="D253" s="3">
        <v>77.0</v>
      </c>
      <c r="E253" s="5">
        <f>IFERROR(__xludf.DUMMYFUNCTION("IF(B253="""", 0, COUNTA(SPLIT(TRIM(B253), "" "")))"),19.0)</f>
        <v>19</v>
      </c>
      <c r="F253" s="5">
        <f>IFERROR(__xludf.DUMMYFUNCTION("IF(C253="""", 0, COUNTA(SPLIT(TRIM(C253), "" "")))"),1.0)</f>
        <v>1</v>
      </c>
    </row>
    <row r="254">
      <c r="A254" s="4">
        <v>253.0</v>
      </c>
      <c r="B254" s="2" t="s">
        <v>470</v>
      </c>
      <c r="C254" s="3" t="s">
        <v>8</v>
      </c>
      <c r="D254" s="3">
        <v>55.0</v>
      </c>
      <c r="E254" s="5">
        <f>IFERROR(__xludf.DUMMYFUNCTION("IF(B254="""", 0, COUNTA(SPLIT(TRIM(B254), "" "")))"),16.0)</f>
        <v>16</v>
      </c>
      <c r="F254" s="5">
        <f>IFERROR(__xludf.DUMMYFUNCTION("IF(C254="""", 0, COUNTA(SPLIT(TRIM(C254), "" "")))"),1.0)</f>
        <v>1</v>
      </c>
    </row>
    <row r="255">
      <c r="A255" s="4">
        <v>254.0</v>
      </c>
      <c r="B255" s="2" t="s">
        <v>482</v>
      </c>
      <c r="C255" s="3" t="s">
        <v>17</v>
      </c>
      <c r="D255" s="3">
        <v>25.0</v>
      </c>
      <c r="E255" s="5">
        <f>IFERROR(__xludf.DUMMYFUNCTION("IF(B255="""", 0, COUNTA(SPLIT(TRIM(B255), "" "")))"),37.0)</f>
        <v>37</v>
      </c>
      <c r="F255" s="5">
        <f>IFERROR(__xludf.DUMMYFUNCTION("IF(C255="""", 0, COUNTA(SPLIT(TRIM(C255), "" "")))"),1.0)</f>
        <v>1</v>
      </c>
    </row>
    <row r="256">
      <c r="A256" s="4">
        <v>255.0</v>
      </c>
      <c r="B256" s="2" t="s">
        <v>581</v>
      </c>
      <c r="C256" s="3" t="s">
        <v>8</v>
      </c>
      <c r="D256" s="3">
        <v>34.0</v>
      </c>
      <c r="E256" s="5">
        <f>IFERROR(__xludf.DUMMYFUNCTION("IF(B256="""", 0, COUNTA(SPLIT(TRIM(B256), "" "")))"),29.0)</f>
        <v>29</v>
      </c>
      <c r="F256" s="5">
        <f>IFERROR(__xludf.DUMMYFUNCTION("IF(C256="""", 0, COUNTA(SPLIT(TRIM(C256), "" "")))"),1.0)</f>
        <v>1</v>
      </c>
    </row>
    <row r="257">
      <c r="A257" s="4">
        <v>256.0</v>
      </c>
      <c r="B257" s="2" t="s">
        <v>582</v>
      </c>
      <c r="C257" s="3" t="s">
        <v>17</v>
      </c>
      <c r="D257" s="3">
        <v>4.0</v>
      </c>
      <c r="E257" s="5">
        <f>IFERROR(__xludf.DUMMYFUNCTION("IF(B257="""", 0, COUNTA(SPLIT(TRIM(B257), "" "")))"),30.0)</f>
        <v>30</v>
      </c>
      <c r="F257" s="5">
        <f>IFERROR(__xludf.DUMMYFUNCTION("IF(C257="""", 0, COUNTA(SPLIT(TRIM(C257), "" "")))"),1.0)</f>
        <v>1</v>
      </c>
    </row>
    <row r="258">
      <c r="A258" s="4">
        <v>257.0</v>
      </c>
      <c r="B258" s="2" t="s">
        <v>583</v>
      </c>
      <c r="C258" s="3" t="s">
        <v>17</v>
      </c>
      <c r="D258" s="3">
        <v>21.0</v>
      </c>
      <c r="E258" s="5">
        <f>IFERROR(__xludf.DUMMYFUNCTION("IF(B258="""", 0, COUNTA(SPLIT(TRIM(B258), "" "")))"),35.0)</f>
        <v>35</v>
      </c>
      <c r="F258" s="5">
        <f>IFERROR(__xludf.DUMMYFUNCTION("IF(C258="""", 0, COUNTA(SPLIT(TRIM(C258), "" "")))"),1.0)</f>
        <v>1</v>
      </c>
    </row>
    <row r="259">
      <c r="A259" s="4">
        <v>258.0</v>
      </c>
      <c r="B259" s="2" t="s">
        <v>584</v>
      </c>
      <c r="C259" s="3" t="s">
        <v>56</v>
      </c>
      <c r="D259" s="3">
        <v>7.0</v>
      </c>
      <c r="E259" s="5">
        <f>IFERROR(__xludf.DUMMYFUNCTION("IF(B259="""", 0, COUNTA(SPLIT(TRIM(B259), "" "")))"),94.0)</f>
        <v>94</v>
      </c>
      <c r="F259" s="5">
        <f>IFERROR(__xludf.DUMMYFUNCTION("IF(C259="""", 0, COUNTA(SPLIT(TRIM(C259), "" "")))"),1.0)</f>
        <v>1</v>
      </c>
    </row>
    <row r="260">
      <c r="A260" s="54">
        <v>259.0</v>
      </c>
      <c r="B260" s="55" t="s">
        <v>585</v>
      </c>
      <c r="C260" s="3" t="s">
        <v>56</v>
      </c>
      <c r="D260" s="3">
        <v>84.0</v>
      </c>
      <c r="E260" s="5">
        <f>IFERROR(__xludf.DUMMYFUNCTION("IF(B260="""", 0, COUNTA(SPLIT(TRIM(B260), "" "")))"),22.0)</f>
        <v>22</v>
      </c>
      <c r="F260" s="5">
        <f>IFERROR(__xludf.DUMMYFUNCTION("IF(C260="""", 0, COUNTA(SPLIT(TRIM(C260), "" "")))"),1.0)</f>
        <v>1</v>
      </c>
    </row>
    <row r="261">
      <c r="A261" s="16">
        <v>260.0</v>
      </c>
      <c r="B261" s="17" t="s">
        <v>586</v>
      </c>
      <c r="C261" s="3" t="s">
        <v>17</v>
      </c>
      <c r="D261" s="3">
        <v>91.0</v>
      </c>
      <c r="E261" s="5">
        <f>IFERROR(__xludf.DUMMYFUNCTION("IF(B261="""", 0, COUNTA(SPLIT(TRIM(B261), "" "")))"),175.0)</f>
        <v>175</v>
      </c>
      <c r="F261" s="5">
        <f>IFERROR(__xludf.DUMMYFUNCTION("IF(C261="""", 0, COUNTA(SPLIT(TRIM(C261), "" "")))"),1.0)</f>
        <v>1</v>
      </c>
    </row>
    <row r="262">
      <c r="A262" s="4">
        <v>261.0</v>
      </c>
      <c r="B262" s="2" t="s">
        <v>587</v>
      </c>
      <c r="C262" s="3" t="s">
        <v>8</v>
      </c>
      <c r="D262" s="3">
        <v>90.0</v>
      </c>
      <c r="E262" s="5">
        <f>IFERROR(__xludf.DUMMYFUNCTION("IF(B262="""", 0, COUNTA(SPLIT(TRIM(B262), "" "")))"),52.0)</f>
        <v>52</v>
      </c>
      <c r="F262" s="5">
        <f>IFERROR(__xludf.DUMMYFUNCTION("IF(C262="""", 0, COUNTA(SPLIT(TRIM(C262), "" "")))"),1.0)</f>
        <v>1</v>
      </c>
    </row>
    <row r="263">
      <c r="A263" s="4">
        <v>262.0</v>
      </c>
      <c r="B263" s="2" t="s">
        <v>588</v>
      </c>
      <c r="C263" s="3" t="s">
        <v>56</v>
      </c>
      <c r="D263" s="3">
        <v>33.0</v>
      </c>
      <c r="E263" s="5">
        <f>IFERROR(__xludf.DUMMYFUNCTION("IF(B263="""", 0, COUNTA(SPLIT(TRIM(B263), "" "")))"),20.0)</f>
        <v>20</v>
      </c>
      <c r="F263" s="5">
        <f>IFERROR(__xludf.DUMMYFUNCTION("IF(C263="""", 0, COUNTA(SPLIT(TRIM(C263), "" "")))"),1.0)</f>
        <v>1</v>
      </c>
    </row>
    <row r="264">
      <c r="A264" s="4">
        <v>263.0</v>
      </c>
      <c r="B264" s="2" t="s">
        <v>589</v>
      </c>
      <c r="C264" s="3" t="s">
        <v>8</v>
      </c>
      <c r="D264" s="3">
        <v>98.0</v>
      </c>
      <c r="E264" s="5">
        <f>IFERROR(__xludf.DUMMYFUNCTION("IF(B264="""", 0, COUNTA(SPLIT(TRIM(B264), "" "")))"),45.0)</f>
        <v>45</v>
      </c>
      <c r="F264" s="5">
        <f>IFERROR(__xludf.DUMMYFUNCTION("IF(C264="""", 0, COUNTA(SPLIT(TRIM(C264), "" "")))"),1.0)</f>
        <v>1</v>
      </c>
    </row>
    <row r="265">
      <c r="A265" s="4">
        <v>264.0</v>
      </c>
      <c r="B265" s="2" t="s">
        <v>590</v>
      </c>
      <c r="C265" s="3" t="s">
        <v>56</v>
      </c>
      <c r="D265" s="3">
        <v>13.0</v>
      </c>
      <c r="E265" s="5">
        <f>IFERROR(__xludf.DUMMYFUNCTION("IF(B265="""", 0, COUNTA(SPLIT(TRIM(B265), "" "")))"),36.0)</f>
        <v>36</v>
      </c>
      <c r="F265" s="5">
        <f>IFERROR(__xludf.DUMMYFUNCTION("IF(C265="""", 0, COUNTA(SPLIT(TRIM(C265), "" "")))"),1.0)</f>
        <v>1</v>
      </c>
    </row>
    <row r="266">
      <c r="A266" s="4">
        <v>265.0</v>
      </c>
      <c r="B266" s="2" t="s">
        <v>439</v>
      </c>
      <c r="C266" s="3" t="s">
        <v>8</v>
      </c>
      <c r="D266" s="3">
        <v>93.0</v>
      </c>
      <c r="E266" s="5">
        <f>IFERROR(__xludf.DUMMYFUNCTION("IF(B266="""", 0, COUNTA(SPLIT(TRIM(B266), "" "")))"),25.0)</f>
        <v>25</v>
      </c>
      <c r="F266" s="5">
        <f>IFERROR(__xludf.DUMMYFUNCTION("IF(C266="""", 0, COUNTA(SPLIT(TRIM(C266), "" "")))"),1.0)</f>
        <v>1</v>
      </c>
    </row>
    <row r="267">
      <c r="A267" s="4">
        <v>266.0</v>
      </c>
      <c r="B267" s="2" t="s">
        <v>457</v>
      </c>
      <c r="C267" s="3" t="s">
        <v>17</v>
      </c>
      <c r="D267" s="3">
        <v>97.0</v>
      </c>
      <c r="E267" s="5">
        <f>IFERROR(__xludf.DUMMYFUNCTION("IF(B267="""", 0, COUNTA(SPLIT(TRIM(B267), "" "")))"),21.0)</f>
        <v>21</v>
      </c>
      <c r="F267" s="5">
        <f>IFERROR(__xludf.DUMMYFUNCTION("IF(C267="""", 0, COUNTA(SPLIT(TRIM(C267), "" "")))"),1.0)</f>
        <v>1</v>
      </c>
    </row>
    <row r="268">
      <c r="A268" s="4">
        <v>267.0</v>
      </c>
      <c r="B268" s="2" t="s">
        <v>483</v>
      </c>
      <c r="C268" s="3" t="s">
        <v>17</v>
      </c>
      <c r="D268" s="3">
        <v>35.0</v>
      </c>
      <c r="E268" s="5">
        <f>IFERROR(__xludf.DUMMYFUNCTION("IF(B268="""", 0, COUNTA(SPLIT(TRIM(B268), "" "")))"),32.0)</f>
        <v>32</v>
      </c>
      <c r="F268" s="5">
        <f>IFERROR(__xludf.DUMMYFUNCTION("IF(C268="""", 0, COUNTA(SPLIT(TRIM(C268), "" "")))"),1.0)</f>
        <v>1</v>
      </c>
    </row>
    <row r="269">
      <c r="A269" s="4">
        <v>268.0</v>
      </c>
      <c r="B269" s="2" t="s">
        <v>591</v>
      </c>
      <c r="C269" s="3" t="s">
        <v>35</v>
      </c>
      <c r="D269" s="3">
        <v>26.0</v>
      </c>
      <c r="E269" s="5">
        <f>IFERROR(__xludf.DUMMYFUNCTION("IF(B269="""", 0, COUNTA(SPLIT(TRIM(B269), "" "")))"),21.0)</f>
        <v>21</v>
      </c>
      <c r="F269" s="5">
        <f>IFERROR(__xludf.DUMMYFUNCTION("IF(C269="""", 0, COUNTA(SPLIT(TRIM(C269), "" "")))"),1.0)</f>
        <v>1</v>
      </c>
    </row>
    <row r="270">
      <c r="A270" s="4">
        <v>269.0</v>
      </c>
      <c r="B270" s="2" t="s">
        <v>592</v>
      </c>
      <c r="C270" s="3" t="s">
        <v>56</v>
      </c>
      <c r="D270" s="3">
        <v>17.0</v>
      </c>
      <c r="E270" s="5">
        <f>IFERROR(__xludf.DUMMYFUNCTION("IF(B270="""", 0, COUNTA(SPLIT(TRIM(B270), "" "")))"),127.0)</f>
        <v>127</v>
      </c>
      <c r="F270" s="5">
        <f>IFERROR(__xludf.DUMMYFUNCTION("IF(C270="""", 0, COUNTA(SPLIT(TRIM(C270), "" "")))"),1.0)</f>
        <v>1</v>
      </c>
    </row>
    <row r="271">
      <c r="A271" s="4">
        <v>270.0</v>
      </c>
      <c r="B271" s="2" t="s">
        <v>315</v>
      </c>
      <c r="C271" s="3">
        <v>3000.0</v>
      </c>
      <c r="D271" s="3">
        <v>11.0</v>
      </c>
      <c r="E271" s="5">
        <f>IFERROR(__xludf.DUMMYFUNCTION("IF(B271="""", 0, COUNTA(SPLIT(TRIM(B271), "" "")))"),58.0)</f>
        <v>58</v>
      </c>
      <c r="F271" s="5">
        <f>IFERROR(__xludf.DUMMYFUNCTION("IF(C271="""", 0, COUNTA(SPLIT(TRIM(C271), "" "")))"),1.0)</f>
        <v>1</v>
      </c>
    </row>
    <row r="272">
      <c r="A272" s="4">
        <v>271.0</v>
      </c>
      <c r="B272" s="2" t="s">
        <v>332</v>
      </c>
      <c r="C272" s="3">
        <v>23.8</v>
      </c>
      <c r="D272" s="3">
        <v>60.0</v>
      </c>
      <c r="E272" s="5">
        <f>IFERROR(__xludf.DUMMYFUNCTION("IF(B272="""", 0, COUNTA(SPLIT(TRIM(B272), "" "")))"),24.0)</f>
        <v>24</v>
      </c>
      <c r="F272" s="5">
        <f>IFERROR(__xludf.DUMMYFUNCTION("IF(C272="""", 0, COUNTA(SPLIT(TRIM(C272), "" "")))"),1.0)</f>
        <v>1</v>
      </c>
    </row>
    <row r="273">
      <c r="A273" s="4">
        <v>272.0</v>
      </c>
      <c r="B273" s="2" t="s">
        <v>347</v>
      </c>
      <c r="C273" s="3">
        <v>50.0</v>
      </c>
      <c r="D273" s="3">
        <v>43.0</v>
      </c>
      <c r="E273" s="5">
        <f>IFERROR(__xludf.DUMMYFUNCTION("IF(B273="""", 0, COUNTA(SPLIT(TRIM(B273), "" "")))"),9.0)</f>
        <v>9</v>
      </c>
      <c r="F273" s="5">
        <f>IFERROR(__xludf.DUMMYFUNCTION("IF(C273="""", 0, COUNTA(SPLIT(TRIM(C273), "" "")))"),1.0)</f>
        <v>1</v>
      </c>
    </row>
    <row r="274">
      <c r="A274" s="4">
        <v>273.0</v>
      </c>
      <c r="B274" s="2" t="s">
        <v>362</v>
      </c>
      <c r="C274" s="3">
        <v>4860.0</v>
      </c>
      <c r="D274" s="3">
        <v>50.0</v>
      </c>
      <c r="E274" s="5">
        <f>IFERROR(__xludf.DUMMYFUNCTION("IF(B274="""", 0, COUNTA(SPLIT(TRIM(B274), "" "")))"),15.0)</f>
        <v>15</v>
      </c>
      <c r="F274" s="5">
        <f>IFERROR(__xludf.DUMMYFUNCTION("IF(C274="""", 0, COUNTA(SPLIT(TRIM(C274), "" "")))"),1.0)</f>
        <v>1</v>
      </c>
    </row>
    <row r="275">
      <c r="A275" s="4">
        <v>274.0</v>
      </c>
      <c r="B275" s="2" t="s">
        <v>375</v>
      </c>
      <c r="C275" s="3">
        <v>1188.0</v>
      </c>
      <c r="D275" s="3">
        <v>88.0</v>
      </c>
      <c r="E275" s="5">
        <f>IFERROR(__xludf.DUMMYFUNCTION("IF(B275="""", 0, COUNTA(SPLIT(TRIM(B275), "" "")))"),12.0)</f>
        <v>12</v>
      </c>
      <c r="F275" s="5">
        <f>IFERROR(__xludf.DUMMYFUNCTION("IF(C275="""", 0, COUNTA(SPLIT(TRIM(C275), "" "")))"),1.0)</f>
        <v>1</v>
      </c>
    </row>
    <row r="276">
      <c r="A276" s="4">
        <v>275.0</v>
      </c>
      <c r="B276" s="27" t="s">
        <v>393</v>
      </c>
      <c r="C276" s="3">
        <v>2.0</v>
      </c>
      <c r="D276" s="3">
        <v>4.0</v>
      </c>
      <c r="E276" s="5">
        <f>IFERROR(__xludf.DUMMYFUNCTION("IF(B276="""", 0, COUNTA(SPLIT(TRIM(B276), "" "")))"),7.0)</f>
        <v>7</v>
      </c>
      <c r="F276" s="5">
        <f>IFERROR(__xludf.DUMMYFUNCTION("IF(C276="""", 0, COUNTA(SPLIT(TRIM(C276), "" "")))"),1.0)</f>
        <v>1</v>
      </c>
    </row>
    <row r="277">
      <c r="A277" s="4">
        <v>276.0</v>
      </c>
      <c r="B277" s="2" t="s">
        <v>593</v>
      </c>
      <c r="C277" s="3">
        <v>0.67</v>
      </c>
      <c r="D277" s="3">
        <v>39.0</v>
      </c>
      <c r="E277" s="5">
        <f>IFERROR(__xludf.DUMMYFUNCTION("IF(B277="""", 0, COUNTA(SPLIT(TRIM(B277), "" "")))"),40.0)</f>
        <v>40</v>
      </c>
      <c r="F277" s="5">
        <f>IFERROR(__xludf.DUMMYFUNCTION("IF(C277="""", 0, COUNTA(SPLIT(TRIM(C277), "" "")))"),1.0)</f>
        <v>1</v>
      </c>
    </row>
    <row r="278">
      <c r="A278" s="4">
        <v>277.0</v>
      </c>
      <c r="B278" s="2" t="s">
        <v>424</v>
      </c>
      <c r="C278" s="3">
        <v>12.0</v>
      </c>
      <c r="D278" s="3">
        <v>23.0</v>
      </c>
      <c r="E278" s="5">
        <f>IFERROR(__xludf.DUMMYFUNCTION("IF(B278="""", 0, COUNTA(SPLIT(TRIM(B278), "" "")))"),16.0)</f>
        <v>16</v>
      </c>
      <c r="F278" s="5">
        <f>IFERROR(__xludf.DUMMYFUNCTION("IF(C278="""", 0, COUNTA(SPLIT(TRIM(C278), "" "")))"),1.0)</f>
        <v>1</v>
      </c>
    </row>
    <row r="279">
      <c r="A279" s="4">
        <v>278.0</v>
      </c>
      <c r="B279" s="2" t="s">
        <v>441</v>
      </c>
      <c r="C279" s="3">
        <v>1500.0</v>
      </c>
      <c r="D279" s="3">
        <v>13.0</v>
      </c>
      <c r="E279" s="5">
        <f>IFERROR(__xludf.DUMMYFUNCTION("IF(B279="""", 0, COUNTA(SPLIT(TRIM(B279), "" "")))"),18.0)</f>
        <v>18</v>
      </c>
      <c r="F279" s="5">
        <f>IFERROR(__xludf.DUMMYFUNCTION("IF(C279="""", 0, COUNTA(SPLIT(TRIM(C279), "" "")))"),1.0)</f>
        <v>1</v>
      </c>
    </row>
    <row r="280">
      <c r="A280" s="4">
        <v>279.0</v>
      </c>
      <c r="B280" s="2" t="s">
        <v>458</v>
      </c>
      <c r="C280" s="3">
        <v>3600.0</v>
      </c>
      <c r="D280" s="3">
        <v>47.0</v>
      </c>
      <c r="E280" s="5">
        <f>IFERROR(__xludf.DUMMYFUNCTION("IF(B280="""", 0, COUNTA(SPLIT(TRIM(B280), "" "")))"),16.0)</f>
        <v>16</v>
      </c>
      <c r="F280" s="5">
        <f>IFERROR(__xludf.DUMMYFUNCTION("IF(C280="""", 0, COUNTA(SPLIT(TRIM(C280), "" "")))"),1.0)</f>
        <v>1</v>
      </c>
    </row>
    <row r="281">
      <c r="A281" s="4">
        <v>280.0</v>
      </c>
      <c r="B281" s="2" t="s">
        <v>471</v>
      </c>
      <c r="C281" s="3">
        <v>25.0</v>
      </c>
      <c r="D281" s="3">
        <v>5.0</v>
      </c>
      <c r="E281" s="5">
        <f>IFERROR(__xludf.DUMMYFUNCTION("IF(B281="""", 0, COUNTA(SPLIT(TRIM(B281), "" "")))"),21.0)</f>
        <v>21</v>
      </c>
      <c r="F281" s="5">
        <f>IFERROR(__xludf.DUMMYFUNCTION("IF(C281="""", 0, COUNTA(SPLIT(TRIM(C281), "" "")))"),1.0)</f>
        <v>1</v>
      </c>
    </row>
    <row r="282">
      <c r="A282" s="4">
        <v>281.0</v>
      </c>
      <c r="B282" s="2" t="s">
        <v>484</v>
      </c>
      <c r="C282" s="3">
        <v>60.0</v>
      </c>
      <c r="D282" s="3">
        <v>45.0</v>
      </c>
      <c r="E282" s="5">
        <f>IFERROR(__xludf.DUMMYFUNCTION("IF(B282="""", 0, COUNTA(SPLIT(TRIM(B282), "" "")))"),15.0)</f>
        <v>15</v>
      </c>
      <c r="F282" s="5">
        <f>IFERROR(__xludf.DUMMYFUNCTION("IF(C282="""", 0, COUNTA(SPLIT(TRIM(C282), "" "")))"),1.0)</f>
        <v>1</v>
      </c>
    </row>
    <row r="283">
      <c r="A283" s="4">
        <v>282.0</v>
      </c>
      <c r="B283" s="2" t="s">
        <v>497</v>
      </c>
      <c r="C283" s="3">
        <v>9500.0</v>
      </c>
      <c r="D283" s="3">
        <v>44.0</v>
      </c>
      <c r="E283" s="5">
        <f>IFERROR(__xludf.DUMMYFUNCTION("IF(B283="""", 0, COUNTA(SPLIT(TRIM(B283), "" "")))"),15.0)</f>
        <v>15</v>
      </c>
      <c r="F283" s="5">
        <f>IFERROR(__xludf.DUMMYFUNCTION("IF(C283="""", 0, COUNTA(SPLIT(TRIM(C283), "" "")))"),1.0)</f>
        <v>1</v>
      </c>
    </row>
    <row r="284">
      <c r="A284" s="4">
        <v>283.0</v>
      </c>
      <c r="B284" s="2" t="s">
        <v>511</v>
      </c>
      <c r="C284" s="3">
        <v>1150.0</v>
      </c>
      <c r="D284" s="3">
        <v>6.0</v>
      </c>
      <c r="E284" s="5">
        <f>IFERROR(__xludf.DUMMYFUNCTION("IF(B284="""", 0, COUNTA(SPLIT(TRIM(B284), "" "")))"),17.0)</f>
        <v>17</v>
      </c>
      <c r="F284" s="5">
        <f>IFERROR(__xludf.DUMMYFUNCTION("IF(C284="""", 0, COUNTA(SPLIT(TRIM(C284), "" "")))"),1.0)</f>
        <v>1</v>
      </c>
    </row>
    <row r="285">
      <c r="A285" s="4">
        <v>284.0</v>
      </c>
      <c r="B285" s="2" t="s">
        <v>524</v>
      </c>
      <c r="C285" s="3">
        <v>1240.0</v>
      </c>
      <c r="D285" s="3">
        <v>41.0</v>
      </c>
      <c r="E285" s="5">
        <f>IFERROR(__xludf.DUMMYFUNCTION("IF(B285="""", 0, COUNTA(SPLIT(TRIM(B285), "" "")))"),14.0)</f>
        <v>14</v>
      </c>
      <c r="F285" s="5">
        <f>IFERROR(__xludf.DUMMYFUNCTION("IF(C285="""", 0, COUNTA(SPLIT(TRIM(C285), "" "")))"),1.0)</f>
        <v>1</v>
      </c>
    </row>
    <row r="286">
      <c r="A286" s="4">
        <v>285.0</v>
      </c>
      <c r="B286" s="2" t="s">
        <v>536</v>
      </c>
      <c r="C286" s="3">
        <v>430.0</v>
      </c>
      <c r="D286" s="3">
        <v>47.0</v>
      </c>
      <c r="E286" s="5">
        <f>IFERROR(__xludf.DUMMYFUNCTION("IF(B286="""", 0, COUNTA(SPLIT(TRIM(B286), "" "")))"),22.0)</f>
        <v>22</v>
      </c>
      <c r="F286" s="5">
        <f>IFERROR(__xludf.DUMMYFUNCTION("IF(C286="""", 0, COUNTA(SPLIT(TRIM(C286), "" "")))"),1.0)</f>
        <v>1</v>
      </c>
    </row>
    <row r="287">
      <c r="A287" s="16">
        <v>286.0</v>
      </c>
      <c r="B287" s="17" t="s">
        <v>594</v>
      </c>
      <c r="C287" s="3">
        <v>7.0</v>
      </c>
      <c r="D287" s="3">
        <v>94.0</v>
      </c>
      <c r="E287" s="5">
        <f>IFERROR(__xludf.DUMMYFUNCTION("IF(B287="""", 0, COUNTA(SPLIT(TRIM(B287), "" "")))"),6.0)</f>
        <v>6</v>
      </c>
      <c r="F287" s="5">
        <f>IFERROR(__xludf.DUMMYFUNCTION("IF(C287="""", 0, COUNTA(SPLIT(TRIM(C287), "" "")))"),1.0)</f>
        <v>1</v>
      </c>
    </row>
    <row r="288">
      <c r="A288" s="4">
        <v>287.0</v>
      </c>
      <c r="B288" s="2" t="s">
        <v>316</v>
      </c>
      <c r="C288" s="3">
        <v>55.0</v>
      </c>
      <c r="D288" s="3">
        <v>31.0</v>
      </c>
      <c r="E288" s="5">
        <f>IFERROR(__xludf.DUMMYFUNCTION("IF(B288="""", 0, COUNTA(SPLIT(TRIM(B288), "" "")))"),50.0)</f>
        <v>50</v>
      </c>
      <c r="F288" s="5">
        <f>IFERROR(__xludf.DUMMYFUNCTION("IF(C288="""", 0, COUNTA(SPLIT(TRIM(C288), "" "")))"),1.0)</f>
        <v>1</v>
      </c>
    </row>
    <row r="289">
      <c r="A289" s="4">
        <v>288.0</v>
      </c>
      <c r="B289" s="2" t="s">
        <v>333</v>
      </c>
      <c r="C289" s="3">
        <v>250.0</v>
      </c>
      <c r="D289" s="3">
        <v>80.0</v>
      </c>
      <c r="E289" s="5">
        <f>IFERROR(__xludf.DUMMYFUNCTION("IF(B289="""", 0, COUNTA(SPLIT(TRIM(B289), "" "")))"),23.0)</f>
        <v>23</v>
      </c>
      <c r="F289" s="5">
        <f>IFERROR(__xludf.DUMMYFUNCTION("IF(C289="""", 0, COUNTA(SPLIT(TRIM(C289), "" "")))"),1.0)</f>
        <v>1</v>
      </c>
    </row>
    <row r="290">
      <c r="A290" s="4">
        <v>289.0</v>
      </c>
      <c r="B290" s="2" t="s">
        <v>349</v>
      </c>
      <c r="C290" s="3">
        <v>120.0</v>
      </c>
      <c r="D290" s="3">
        <v>53.0</v>
      </c>
      <c r="E290" s="5">
        <f>IFERROR(__xludf.DUMMYFUNCTION("IF(B290="""", 0, COUNTA(SPLIT(TRIM(B290), "" "")))"),6.0)</f>
        <v>6</v>
      </c>
      <c r="F290" s="5">
        <f>IFERROR(__xludf.DUMMYFUNCTION("IF(C290="""", 0, COUNTA(SPLIT(TRIM(C290), "" "")))"),1.0)</f>
        <v>1</v>
      </c>
    </row>
    <row r="291">
      <c r="A291" s="4">
        <v>290.0</v>
      </c>
      <c r="B291" s="2" t="s">
        <v>363</v>
      </c>
      <c r="C291" s="3">
        <v>48.0</v>
      </c>
      <c r="D291" s="3">
        <v>60.0</v>
      </c>
      <c r="E291" s="5">
        <f>IFERROR(__xludf.DUMMYFUNCTION("IF(B291="""", 0, COUNTA(SPLIT(TRIM(B291), "" "")))"),15.0)</f>
        <v>15</v>
      </c>
      <c r="F291" s="5">
        <f>IFERROR(__xludf.DUMMYFUNCTION("IF(C291="""", 0, COUNTA(SPLIT(TRIM(C291), "" "")))"),1.0)</f>
        <v>1</v>
      </c>
    </row>
    <row r="292">
      <c r="A292" s="4">
        <v>291.0</v>
      </c>
      <c r="B292" s="2" t="s">
        <v>376</v>
      </c>
      <c r="C292" s="3">
        <v>200.0</v>
      </c>
      <c r="D292" s="3">
        <v>78.0</v>
      </c>
      <c r="E292" s="5">
        <f>IFERROR(__xludf.DUMMYFUNCTION("IF(B292="""", 0, COUNTA(SPLIT(TRIM(B292), "" "")))"),22.0)</f>
        <v>22</v>
      </c>
      <c r="F292" s="5">
        <f>IFERROR(__xludf.DUMMYFUNCTION("IF(C292="""", 0, COUNTA(SPLIT(TRIM(C292), "" "")))"),1.0)</f>
        <v>1</v>
      </c>
    </row>
    <row r="293">
      <c r="A293" s="4">
        <v>292.0</v>
      </c>
      <c r="B293" s="2" t="s">
        <v>395</v>
      </c>
      <c r="C293" s="3">
        <v>2388.0</v>
      </c>
      <c r="D293" s="3">
        <v>24.0</v>
      </c>
      <c r="E293" s="5">
        <f>IFERROR(__xludf.DUMMYFUNCTION("IF(B293="""", 0, COUNTA(SPLIT(TRIM(B293), "" "")))"),17.0)</f>
        <v>17</v>
      </c>
      <c r="F293" s="5">
        <f>IFERROR(__xludf.DUMMYFUNCTION("IF(C293="""", 0, COUNTA(SPLIT(TRIM(C293), "" "")))"),1.0)</f>
        <v>1</v>
      </c>
    </row>
    <row r="294">
      <c r="A294" s="4">
        <v>293.0</v>
      </c>
      <c r="B294" s="2" t="s">
        <v>595</v>
      </c>
      <c r="C294" s="3">
        <v>0.99</v>
      </c>
      <c r="D294" s="3">
        <v>49.0</v>
      </c>
      <c r="E294" s="5">
        <f>IFERROR(__xludf.DUMMYFUNCTION("IF(B294="""", 0, COUNTA(SPLIT(TRIM(B294), "" "")))"),39.0)</f>
        <v>39</v>
      </c>
      <c r="F294" s="5">
        <f>IFERROR(__xludf.DUMMYFUNCTION("IF(C294="""", 0, COUNTA(SPLIT(TRIM(C294), "" "")))"),1.0)</f>
        <v>1</v>
      </c>
    </row>
    <row r="295">
      <c r="A295" s="4">
        <v>294.0</v>
      </c>
      <c r="B295" s="2" t="s">
        <v>425</v>
      </c>
      <c r="C295" s="3">
        <v>41.0</v>
      </c>
      <c r="D295" s="3">
        <v>3.0</v>
      </c>
      <c r="E295" s="5">
        <f>IFERROR(__xludf.DUMMYFUNCTION("IF(B295="""", 0, COUNTA(SPLIT(TRIM(B295), "" "")))"),17.0)</f>
        <v>17</v>
      </c>
      <c r="F295" s="5">
        <f>IFERROR(__xludf.DUMMYFUNCTION("IF(C295="""", 0, COUNTA(SPLIT(TRIM(C295), "" "")))"),1.0)</f>
        <v>1</v>
      </c>
    </row>
    <row r="296">
      <c r="A296" s="4">
        <v>295.0</v>
      </c>
      <c r="B296" s="2" t="s">
        <v>442</v>
      </c>
      <c r="C296" s="3">
        <v>10.0</v>
      </c>
      <c r="D296" s="3">
        <v>33.0</v>
      </c>
      <c r="E296" s="5">
        <f>IFERROR(__xludf.DUMMYFUNCTION("IF(B296="""", 0, COUNTA(SPLIT(TRIM(B296), "" "")))"),17.0)</f>
        <v>17</v>
      </c>
      <c r="F296" s="5">
        <f>IFERROR(__xludf.DUMMYFUNCTION("IF(C296="""", 0, COUNTA(SPLIT(TRIM(C296), "" "")))"),1.0)</f>
        <v>1</v>
      </c>
    </row>
    <row r="297">
      <c r="A297" s="4">
        <v>296.0</v>
      </c>
      <c r="B297" s="2" t="s">
        <v>459</v>
      </c>
      <c r="C297" s="3">
        <v>90.0</v>
      </c>
      <c r="D297" s="3">
        <v>67.0</v>
      </c>
      <c r="E297" s="5">
        <f>IFERROR(__xludf.DUMMYFUNCTION("IF(B297="""", 0, COUNTA(SPLIT(TRIM(B297), "" "")))"),19.0)</f>
        <v>19</v>
      </c>
      <c r="F297" s="5">
        <f>IFERROR(__xludf.DUMMYFUNCTION("IF(C297="""", 0, COUNTA(SPLIT(TRIM(C297), "" "")))"),1.0)</f>
        <v>1</v>
      </c>
    </row>
    <row r="298">
      <c r="A298" s="4">
        <v>297.0</v>
      </c>
      <c r="B298" s="2" t="s">
        <v>473</v>
      </c>
      <c r="C298" s="3">
        <v>30.0</v>
      </c>
      <c r="D298" s="3">
        <v>85.0</v>
      </c>
      <c r="E298" s="5">
        <f>IFERROR(__xludf.DUMMYFUNCTION("IF(B298="""", 0, COUNTA(SPLIT(TRIM(B298), "" "")))"),18.0)</f>
        <v>18</v>
      </c>
      <c r="F298" s="5">
        <f>IFERROR(__xludf.DUMMYFUNCTION("IF(C298="""", 0, COUNTA(SPLIT(TRIM(C298), "" "")))"),1.0)</f>
        <v>1</v>
      </c>
    </row>
    <row r="299">
      <c r="A299" s="4">
        <v>298.0</v>
      </c>
      <c r="B299" s="2" t="s">
        <v>485</v>
      </c>
      <c r="C299" s="3">
        <v>1800.0</v>
      </c>
      <c r="D299" s="3">
        <v>45.0</v>
      </c>
      <c r="E299" s="5">
        <f>IFERROR(__xludf.DUMMYFUNCTION("IF(B299="""", 0, COUNTA(SPLIT(TRIM(B299), "" "")))"),12.0)</f>
        <v>12</v>
      </c>
      <c r="F299" s="5">
        <f>IFERROR(__xludf.DUMMYFUNCTION("IF(C299="""", 0, COUNTA(SPLIT(TRIM(C299), "" "")))"),1.0)</f>
        <v>1</v>
      </c>
    </row>
    <row r="300">
      <c r="A300" s="4">
        <v>299.0</v>
      </c>
      <c r="B300" s="2" t="s">
        <v>498</v>
      </c>
      <c r="C300" s="3">
        <v>320.0</v>
      </c>
      <c r="D300" s="3">
        <v>54.0</v>
      </c>
      <c r="E300" s="5">
        <f>IFERROR(__xludf.DUMMYFUNCTION("IF(B300="""", 0, COUNTA(SPLIT(TRIM(B300), "" "")))"),12.0)</f>
        <v>12</v>
      </c>
      <c r="F300" s="5">
        <f>IFERROR(__xludf.DUMMYFUNCTION("IF(C300="""", 0, COUNTA(SPLIT(TRIM(C300), "" "")))"),1.0)</f>
        <v>1</v>
      </c>
    </row>
    <row r="301">
      <c r="A301" s="4">
        <v>300.0</v>
      </c>
      <c r="B301" s="2" t="s">
        <v>512</v>
      </c>
      <c r="C301" s="3">
        <v>943.0</v>
      </c>
      <c r="D301" s="3">
        <v>16.0</v>
      </c>
      <c r="E301" s="5">
        <f>IFERROR(__xludf.DUMMYFUNCTION("IF(B301="""", 0, COUNTA(SPLIT(TRIM(B301), "" "")))"),20.0)</f>
        <v>20</v>
      </c>
      <c r="F301" s="5">
        <f>IFERROR(__xludf.DUMMYFUNCTION("IF(C301="""", 0, COUNTA(SPLIT(TRIM(C301), "" "")))"),1.0)</f>
        <v>1</v>
      </c>
    </row>
    <row r="302">
      <c r="A302" s="4">
        <v>301.0</v>
      </c>
      <c r="B302" s="2" t="s">
        <v>525</v>
      </c>
      <c r="C302" s="3">
        <v>10000.0</v>
      </c>
      <c r="D302" s="3">
        <v>81.0</v>
      </c>
      <c r="E302" s="5">
        <f>IFERROR(__xludf.DUMMYFUNCTION("IF(B302="""", 0, COUNTA(SPLIT(TRIM(B302), "" "")))"),13.0)</f>
        <v>13</v>
      </c>
      <c r="F302" s="5">
        <f>IFERROR(__xludf.DUMMYFUNCTION("IF(C302="""", 0, COUNTA(SPLIT(TRIM(C302), "" "")))"),1.0)</f>
        <v>1</v>
      </c>
    </row>
    <row r="303">
      <c r="A303" s="4">
        <v>302.0</v>
      </c>
      <c r="B303" s="2" t="s">
        <v>537</v>
      </c>
      <c r="C303" s="3">
        <v>60.0</v>
      </c>
      <c r="D303" s="3">
        <v>47.0</v>
      </c>
      <c r="E303" s="5">
        <f>IFERROR(__xludf.DUMMYFUNCTION("IF(B303="""", 0, COUNTA(SPLIT(TRIM(B303), "" "")))"),27.0)</f>
        <v>27</v>
      </c>
      <c r="F303" s="5">
        <f>IFERROR(__xludf.DUMMYFUNCTION("IF(C303="""", 0, COUNTA(SPLIT(TRIM(C303), "" "")))"),1.0)</f>
        <v>1</v>
      </c>
    </row>
    <row r="304">
      <c r="A304" s="56">
        <v>303.0</v>
      </c>
      <c r="B304" s="17" t="s">
        <v>596</v>
      </c>
      <c r="C304" s="3">
        <v>3.0</v>
      </c>
      <c r="D304" s="3">
        <v>54.0</v>
      </c>
      <c r="E304" s="5">
        <f>IFERROR(__xludf.DUMMYFUNCTION("IF(B304="""", 0, COUNTA(SPLIT(TRIM(B304), "" "")))"),6.0)</f>
        <v>6</v>
      </c>
      <c r="F304" s="5">
        <f>IFERROR(__xludf.DUMMYFUNCTION("IF(C304="""", 0, COUNTA(SPLIT(TRIM(C304), "" "")))"),1.0)</f>
        <v>1</v>
      </c>
    </row>
    <row r="305">
      <c r="A305" s="4">
        <v>304.0</v>
      </c>
      <c r="B305" s="2" t="s">
        <v>317</v>
      </c>
      <c r="C305" s="3">
        <v>217.4</v>
      </c>
      <c r="D305" s="3">
        <v>51.0</v>
      </c>
      <c r="E305" s="5">
        <f>IFERROR(__xludf.DUMMYFUNCTION("IF(B305="""", 0, COUNTA(SPLIT(TRIM(B305), "" "")))"),68.0)</f>
        <v>68</v>
      </c>
      <c r="F305" s="5">
        <f>IFERROR(__xludf.DUMMYFUNCTION("IF(C305="""", 0, COUNTA(SPLIT(TRIM(C305), "" "")))"),1.0)</f>
        <v>1</v>
      </c>
    </row>
    <row r="306">
      <c r="A306" s="4">
        <v>305.0</v>
      </c>
      <c r="B306" s="2" t="s">
        <v>334</v>
      </c>
      <c r="C306" s="3">
        <v>237.0</v>
      </c>
      <c r="D306" s="3">
        <v>100.0</v>
      </c>
      <c r="E306" s="5">
        <f>IFERROR(__xludf.DUMMYFUNCTION("IF(B306="""", 0, COUNTA(SPLIT(TRIM(B306), "" "")))"),17.0)</f>
        <v>17</v>
      </c>
      <c r="F306" s="5">
        <f>IFERROR(__xludf.DUMMYFUNCTION("IF(C306="""", 0, COUNTA(SPLIT(TRIM(C306), "" "")))"),1.0)</f>
        <v>1</v>
      </c>
    </row>
    <row r="307">
      <c r="A307" s="4">
        <v>306.0</v>
      </c>
      <c r="B307" s="2" t="s">
        <v>350</v>
      </c>
      <c r="C307" s="3">
        <v>1000.0</v>
      </c>
      <c r="D307" s="3">
        <v>53.0</v>
      </c>
      <c r="E307" s="5">
        <f>IFERROR(__xludf.DUMMYFUNCTION("IF(B307="""", 0, COUNTA(SPLIT(TRIM(B307), "" "")))"),12.0)</f>
        <v>12</v>
      </c>
      <c r="F307" s="5">
        <f>IFERROR(__xludf.DUMMYFUNCTION("IF(C307="""", 0, COUNTA(SPLIT(TRIM(C307), "" "")))"),1.0)</f>
        <v>1</v>
      </c>
    </row>
    <row r="308">
      <c r="A308" s="4">
        <v>307.0</v>
      </c>
      <c r="B308" s="2" t="s">
        <v>377</v>
      </c>
      <c r="C308" s="3">
        <v>3.3</v>
      </c>
      <c r="D308" s="3">
        <v>88.0</v>
      </c>
      <c r="E308" s="5">
        <f>IFERROR(__xludf.DUMMYFUNCTION("IF(B308="""", 0, COUNTA(SPLIT(TRIM(B308), "" "")))"),15.0)</f>
        <v>15</v>
      </c>
      <c r="F308" s="5">
        <f>IFERROR(__xludf.DUMMYFUNCTION("IF(C308="""", 0, COUNTA(SPLIT(TRIM(C308), "" "")))"),1.0)</f>
        <v>1</v>
      </c>
    </row>
    <row r="309">
      <c r="A309" s="4">
        <v>308.0</v>
      </c>
      <c r="B309" s="2" t="s">
        <v>426</v>
      </c>
      <c r="C309" s="3">
        <v>5.0</v>
      </c>
      <c r="D309" s="3">
        <v>43.0</v>
      </c>
      <c r="E309" s="5">
        <f>IFERROR(__xludf.DUMMYFUNCTION("IF(B309="""", 0, COUNTA(SPLIT(TRIM(B309), "" "")))"),21.0)</f>
        <v>21</v>
      </c>
      <c r="F309" s="5">
        <f>IFERROR(__xludf.DUMMYFUNCTION("IF(C309="""", 0, COUNTA(SPLIT(TRIM(C309), "" "")))"),1.0)</f>
        <v>1</v>
      </c>
    </row>
    <row r="310">
      <c r="A310" s="4">
        <v>309.0</v>
      </c>
      <c r="B310" s="2" t="s">
        <v>443</v>
      </c>
      <c r="C310" s="3">
        <v>40.0</v>
      </c>
      <c r="D310" s="3">
        <v>73.0</v>
      </c>
      <c r="E310" s="5">
        <f>IFERROR(__xludf.DUMMYFUNCTION("IF(B310="""", 0, COUNTA(SPLIT(TRIM(B310), "" "")))"),30.0)</f>
        <v>30</v>
      </c>
      <c r="F310" s="5">
        <f>IFERROR(__xludf.DUMMYFUNCTION("IF(C310="""", 0, COUNTA(SPLIT(TRIM(C310), "" "")))"),1.0)</f>
        <v>1</v>
      </c>
    </row>
    <row r="311">
      <c r="A311" s="4">
        <v>310.0</v>
      </c>
      <c r="B311" s="2" t="s">
        <v>460</v>
      </c>
      <c r="C311" s="3">
        <v>38.0</v>
      </c>
      <c r="D311" s="3">
        <v>27.0</v>
      </c>
      <c r="E311" s="5">
        <f>IFERROR(__xludf.DUMMYFUNCTION("IF(B311="""", 0, COUNTA(SPLIT(TRIM(B311), "" "")))"),16.0)</f>
        <v>16</v>
      </c>
      <c r="F311" s="5">
        <f>IFERROR(__xludf.DUMMYFUNCTION("IF(C311="""", 0, COUNTA(SPLIT(TRIM(C311), "" "")))"),1.0)</f>
        <v>1</v>
      </c>
    </row>
    <row r="312">
      <c r="A312" s="4">
        <v>311.0</v>
      </c>
      <c r="B312" s="2" t="s">
        <v>486</v>
      </c>
      <c r="C312" s="3">
        <v>60.0</v>
      </c>
      <c r="D312" s="3">
        <v>85.0</v>
      </c>
      <c r="E312" s="5">
        <f>IFERROR(__xludf.DUMMYFUNCTION("IF(B312="""", 0, COUNTA(SPLIT(TRIM(B312), "" "")))"),19.0)</f>
        <v>19</v>
      </c>
      <c r="F312" s="5">
        <f>IFERROR(__xludf.DUMMYFUNCTION("IF(C312="""", 0, COUNTA(SPLIT(TRIM(C312), "" "")))"),1.0)</f>
        <v>1</v>
      </c>
    </row>
    <row r="313">
      <c r="A313" s="4">
        <v>312.0</v>
      </c>
      <c r="B313" s="2" t="s">
        <v>513</v>
      </c>
      <c r="C313" s="3">
        <v>20.0</v>
      </c>
      <c r="D313" s="3">
        <v>66.0</v>
      </c>
      <c r="E313" s="5">
        <f>IFERROR(__xludf.DUMMYFUNCTION("IF(B313="""", 0, COUNTA(SPLIT(TRIM(B313), "" "")))"),21.0)</f>
        <v>21</v>
      </c>
      <c r="F313" s="5">
        <f>IFERROR(__xludf.DUMMYFUNCTION("IF(C313="""", 0, COUNTA(SPLIT(TRIM(C313), "" "")))"),1.0)</f>
        <v>1</v>
      </c>
    </row>
    <row r="314">
      <c r="A314" s="4">
        <v>313.0</v>
      </c>
      <c r="B314" s="2" t="s">
        <v>538</v>
      </c>
      <c r="C314" s="3">
        <v>36.0</v>
      </c>
      <c r="D314" s="3">
        <v>57.0</v>
      </c>
      <c r="E314" s="5">
        <f>IFERROR(__xludf.DUMMYFUNCTION("IF(B314="""", 0, COUNTA(SPLIT(TRIM(B314), "" "")))"),25.0)</f>
        <v>25</v>
      </c>
      <c r="F314" s="5">
        <f>IFERROR(__xludf.DUMMYFUNCTION("IF(C314="""", 0, COUNTA(SPLIT(TRIM(C314), "" "")))"),1.0)</f>
        <v>1</v>
      </c>
    </row>
    <row r="315">
      <c r="A315" s="4">
        <v>314.0</v>
      </c>
      <c r="B315" s="2" t="s">
        <v>318</v>
      </c>
      <c r="C315" s="3" t="s">
        <v>319</v>
      </c>
      <c r="D315" s="3">
        <v>41.0</v>
      </c>
      <c r="E315" s="5">
        <f>IFERROR(__xludf.DUMMYFUNCTION("IF(B315="""", 0, COUNTA(SPLIT(TRIM(B315), "" "")))"),41.0)</f>
        <v>41</v>
      </c>
      <c r="F315" s="5">
        <f>IFERROR(__xludf.DUMMYFUNCTION("IF(C315="""", 0, COUNTA(SPLIT(TRIM(C315), "" "")))"),3.0)</f>
        <v>3</v>
      </c>
    </row>
    <row r="316">
      <c r="A316" s="4">
        <v>315.0</v>
      </c>
      <c r="B316" s="2" t="s">
        <v>335</v>
      </c>
      <c r="C316" s="3" t="s">
        <v>336</v>
      </c>
      <c r="D316" s="3">
        <v>40.0</v>
      </c>
      <c r="E316" s="5">
        <f>IFERROR(__xludf.DUMMYFUNCTION("IF(B316="""", 0, COUNTA(SPLIT(TRIM(B316), "" "")))"),21.0)</f>
        <v>21</v>
      </c>
      <c r="F316" s="5">
        <f>IFERROR(__xludf.DUMMYFUNCTION("IF(C316="""", 0, COUNTA(SPLIT(TRIM(C316), "" "")))"),2.0)</f>
        <v>2</v>
      </c>
    </row>
    <row r="317">
      <c r="A317" s="4">
        <v>316.0</v>
      </c>
      <c r="B317" s="2" t="s">
        <v>351</v>
      </c>
      <c r="C317" s="3" t="s">
        <v>352</v>
      </c>
      <c r="D317" s="3">
        <v>63.0</v>
      </c>
      <c r="E317" s="5">
        <f>IFERROR(__xludf.DUMMYFUNCTION("IF(B317="""", 0, COUNTA(SPLIT(TRIM(B317), "" "")))"),10.0)</f>
        <v>10</v>
      </c>
      <c r="F317" s="5">
        <f>IFERROR(__xludf.DUMMYFUNCTION("IF(C317="""", 0, COUNTA(SPLIT(TRIM(C317), "" "")))"),2.0)</f>
        <v>2</v>
      </c>
    </row>
    <row r="318">
      <c r="A318" s="4">
        <v>317.0</v>
      </c>
      <c r="B318" s="2" t="s">
        <v>365</v>
      </c>
      <c r="C318" s="57">
        <v>46318.0</v>
      </c>
      <c r="D318" s="3">
        <v>70.0</v>
      </c>
      <c r="E318" s="5">
        <f>IFERROR(__xludf.DUMMYFUNCTION("IF(B318="""", 0, COUNTA(SPLIT(TRIM(B318), "" "")))"),20.0)</f>
        <v>20</v>
      </c>
      <c r="F318" s="5">
        <f>IFERROR(__xludf.DUMMYFUNCTION("IF(C318="""", 0, COUNTA(SPLIT(TRIM(C318), "" "")))"),1.0)</f>
        <v>1</v>
      </c>
    </row>
    <row r="319">
      <c r="A319" s="4">
        <v>318.0</v>
      </c>
      <c r="B319" s="2" t="s">
        <v>379</v>
      </c>
      <c r="C319" s="58">
        <v>46352.0</v>
      </c>
      <c r="D319" s="3">
        <v>18.0</v>
      </c>
      <c r="E319" s="5">
        <f>IFERROR(__xludf.DUMMYFUNCTION("IF(B319="""", 0, COUNTA(SPLIT(TRIM(B319), "" "")))"),20.0)</f>
        <v>20</v>
      </c>
      <c r="F319" s="5">
        <f>IFERROR(__xludf.DUMMYFUNCTION("IF(C319="""", 0, COUNTA(SPLIT(TRIM(C319), "" "")))"),1.0)</f>
        <v>1</v>
      </c>
    </row>
    <row r="320">
      <c r="A320" s="4">
        <v>319.0</v>
      </c>
      <c r="B320" s="2" t="s">
        <v>397</v>
      </c>
      <c r="C320" s="3" t="s">
        <v>398</v>
      </c>
      <c r="D320" s="3">
        <v>34.0</v>
      </c>
      <c r="E320" s="5">
        <f>IFERROR(__xludf.DUMMYFUNCTION("IF(B320="""", 0, COUNTA(SPLIT(TRIM(B320), "" "")))"),14.0)</f>
        <v>14</v>
      </c>
      <c r="F320" s="5">
        <f>IFERROR(__xludf.DUMMYFUNCTION("IF(C320="""", 0, COUNTA(SPLIT(TRIM(C320), "" "")))"),2.0)</f>
        <v>2</v>
      </c>
    </row>
    <row r="321">
      <c r="A321" s="16">
        <v>320.0</v>
      </c>
      <c r="B321" s="17" t="s">
        <v>409</v>
      </c>
      <c r="C321" s="25" t="s">
        <v>410</v>
      </c>
      <c r="D321" s="3">
        <v>59.0</v>
      </c>
      <c r="E321" s="5">
        <f>IFERROR(__xludf.DUMMYFUNCTION("IF(B321="""", 0, COUNTA(SPLIT(TRIM(B321), "" "")))"),12.0)</f>
        <v>12</v>
      </c>
      <c r="F321" s="5">
        <f>IFERROR(__xludf.DUMMYFUNCTION("IF(C321="""", 0, COUNTA(SPLIT(TRIM(C321), "" "")))"),12.0)</f>
        <v>12</v>
      </c>
    </row>
    <row r="322">
      <c r="A322" s="4">
        <v>321.0</v>
      </c>
      <c r="B322" s="2" t="s">
        <v>427</v>
      </c>
      <c r="C322" s="3" t="s">
        <v>428</v>
      </c>
      <c r="D322" s="3">
        <v>13.0</v>
      </c>
      <c r="E322" s="5">
        <f>IFERROR(__xludf.DUMMYFUNCTION("IF(B322="""", 0, COUNTA(SPLIT(TRIM(B322), "" "")))"),11.0)</f>
        <v>11</v>
      </c>
      <c r="F322" s="5">
        <f>IFERROR(__xludf.DUMMYFUNCTION("IF(C322="""", 0, COUNTA(SPLIT(TRIM(C322), "" "")))"),3.0)</f>
        <v>3</v>
      </c>
    </row>
    <row r="323">
      <c r="A323" s="4">
        <v>322.0</v>
      </c>
      <c r="B323" s="2" t="s">
        <v>444</v>
      </c>
      <c r="C323" s="3" t="s">
        <v>445</v>
      </c>
      <c r="D323" s="3">
        <v>83.0</v>
      </c>
      <c r="E323" s="5">
        <f>IFERROR(__xludf.DUMMYFUNCTION("IF(B323="""", 0, COUNTA(SPLIT(TRIM(B323), "" "")))"),19.0)</f>
        <v>19</v>
      </c>
      <c r="F323" s="5">
        <f>IFERROR(__xludf.DUMMYFUNCTION("IF(C323="""", 0, COUNTA(SPLIT(TRIM(C323), "" "")))"),2.0)</f>
        <v>2</v>
      </c>
    </row>
    <row r="324">
      <c r="A324" s="4">
        <v>323.0</v>
      </c>
      <c r="B324" s="2" t="s">
        <v>461</v>
      </c>
      <c r="C324" s="3" t="s">
        <v>462</v>
      </c>
      <c r="D324" s="3">
        <v>47.0</v>
      </c>
      <c r="E324" s="5">
        <f>IFERROR(__xludf.DUMMYFUNCTION("IF(B324="""", 0, COUNTA(SPLIT(TRIM(B324), "" "")))"),12.0)</f>
        <v>12</v>
      </c>
      <c r="F324" s="5">
        <f>IFERROR(__xludf.DUMMYFUNCTION("IF(C324="""", 0, COUNTA(SPLIT(TRIM(C324), "" "")))"),2.0)</f>
        <v>2</v>
      </c>
    </row>
    <row r="325">
      <c r="A325" s="4">
        <v>324.0</v>
      </c>
      <c r="B325" s="2" t="s">
        <v>474</v>
      </c>
      <c r="C325" s="3" t="s">
        <v>475</v>
      </c>
      <c r="D325" s="3">
        <v>75.0</v>
      </c>
      <c r="E325" s="5">
        <f>IFERROR(__xludf.DUMMYFUNCTION("IF(B325="""", 0, COUNTA(SPLIT(TRIM(B325), "" "")))"),8.0)</f>
        <v>8</v>
      </c>
      <c r="F325" s="5">
        <f>IFERROR(__xludf.DUMMYFUNCTION("IF(C325="""", 0, COUNTA(SPLIT(TRIM(C325), "" "")))"),1.0)</f>
        <v>1</v>
      </c>
    </row>
    <row r="326">
      <c r="A326" s="4">
        <v>325.0</v>
      </c>
      <c r="B326" s="2" t="s">
        <v>487</v>
      </c>
      <c r="C326" s="3" t="s">
        <v>6</v>
      </c>
      <c r="D326" s="3">
        <v>95.0</v>
      </c>
      <c r="E326" s="5">
        <f>IFERROR(__xludf.DUMMYFUNCTION("IF(B326="""", 0, COUNTA(SPLIT(TRIM(B326), "" "")))"),12.0)</f>
        <v>12</v>
      </c>
      <c r="F326" s="5">
        <f>IFERROR(__xludf.DUMMYFUNCTION("IF(C326="""", 0, COUNTA(SPLIT(TRIM(C326), "" "")))"),6.0)</f>
        <v>6</v>
      </c>
    </row>
    <row r="327">
      <c r="A327" s="4">
        <v>326.0</v>
      </c>
      <c r="B327" s="2" t="s">
        <v>499</v>
      </c>
      <c r="C327" s="3" t="s">
        <v>500</v>
      </c>
      <c r="D327" s="3">
        <v>64.0</v>
      </c>
      <c r="E327" s="5">
        <f>IFERROR(__xludf.DUMMYFUNCTION("IF(B327="""", 0, COUNTA(SPLIT(TRIM(B327), "" "")))"),13.0)</f>
        <v>13</v>
      </c>
      <c r="F327" s="5">
        <f>IFERROR(__xludf.DUMMYFUNCTION("IF(C327="""", 0, COUNTA(SPLIT(TRIM(C327), "" "")))"),3.0)</f>
        <v>3</v>
      </c>
    </row>
    <row r="328">
      <c r="A328" s="4">
        <v>327.0</v>
      </c>
      <c r="B328" s="2" t="s">
        <v>514</v>
      </c>
      <c r="C328" s="3" t="s">
        <v>515</v>
      </c>
      <c r="D328" s="3">
        <v>76.0</v>
      </c>
      <c r="E328" s="5">
        <f>IFERROR(__xludf.DUMMYFUNCTION("IF(B328="""", 0, COUNTA(SPLIT(TRIM(B328), "" "")))"),20.0)</f>
        <v>20</v>
      </c>
      <c r="F328" s="5">
        <f>IFERROR(__xludf.DUMMYFUNCTION("IF(C328="""", 0, COUNTA(SPLIT(TRIM(C328), "" "")))"),6.0)</f>
        <v>6</v>
      </c>
    </row>
    <row r="329">
      <c r="A329" s="4">
        <v>328.0</v>
      </c>
      <c r="B329" s="2" t="s">
        <v>526</v>
      </c>
      <c r="C329" s="53">
        <v>0.5833333333333334</v>
      </c>
      <c r="D329" s="3">
        <v>1.0</v>
      </c>
      <c r="E329" s="5">
        <f>IFERROR(__xludf.DUMMYFUNCTION("IF(B329="""", 0, COUNTA(SPLIT(TRIM(B329), "" "")))"),17.0)</f>
        <v>17</v>
      </c>
      <c r="F329" s="5">
        <f>IFERROR(__xludf.DUMMYFUNCTION("IF(C329="""", 0, COUNTA(SPLIT(TRIM(C329), "" "")))"),1.0)</f>
        <v>1</v>
      </c>
    </row>
    <row r="330">
      <c r="A330" s="4">
        <v>329.0</v>
      </c>
      <c r="B330" s="2" t="s">
        <v>539</v>
      </c>
      <c r="C330" s="3" t="s">
        <v>540</v>
      </c>
      <c r="D330" s="3">
        <v>67.0</v>
      </c>
      <c r="E330" s="5">
        <f>IFERROR(__xludf.DUMMYFUNCTION("IF(B330="""", 0, COUNTA(SPLIT(TRIM(B330), "" "")))"),18.0)</f>
        <v>18</v>
      </c>
      <c r="F330" s="5">
        <f>IFERROR(__xludf.DUMMYFUNCTION("IF(C330="""", 0, COUNTA(SPLIT(TRIM(C330), "" "")))"),3.0)</f>
        <v>3</v>
      </c>
    </row>
    <row r="331">
      <c r="A331" s="54">
        <v>330.0</v>
      </c>
      <c r="B331" s="55" t="s">
        <v>597</v>
      </c>
      <c r="C331" s="3" t="s">
        <v>552</v>
      </c>
      <c r="D331" s="25">
        <v>24.0</v>
      </c>
      <c r="E331" s="5">
        <f>IFERROR(__xludf.DUMMYFUNCTION("IF(B331="""", 0, COUNTA(SPLIT(TRIM(B331), "" "")))"),12.0)</f>
        <v>12</v>
      </c>
      <c r="F331" s="5">
        <f>IFERROR(__xludf.DUMMYFUNCTION("IF(C331="""", 0, COUNTA(SPLIT(TRIM(C331), "" "")))"),1.0)</f>
        <v>1</v>
      </c>
    </row>
    <row r="332">
      <c r="A332" s="4">
        <v>331.0</v>
      </c>
      <c r="B332" s="2" t="s">
        <v>320</v>
      </c>
      <c r="C332" s="3" t="s">
        <v>321</v>
      </c>
      <c r="D332" s="3">
        <v>71.0</v>
      </c>
      <c r="E332" s="5">
        <f>IFERROR(__xludf.DUMMYFUNCTION("IF(B332="""", 0, COUNTA(SPLIT(TRIM(B332), "" "")))"),54.0)</f>
        <v>54</v>
      </c>
      <c r="F332" s="5">
        <f>IFERROR(__xludf.DUMMYFUNCTION("IF(C332="""", 0, COUNTA(SPLIT(TRIM(C332), "" "")))"),2.0)</f>
        <v>2</v>
      </c>
    </row>
    <row r="333">
      <c r="A333" s="4">
        <v>332.0</v>
      </c>
      <c r="B333" s="2" t="s">
        <v>337</v>
      </c>
      <c r="C333" s="3" t="s">
        <v>338</v>
      </c>
      <c r="D333" s="3">
        <v>70.0</v>
      </c>
      <c r="E333" s="5">
        <f>IFERROR(__xludf.DUMMYFUNCTION("IF(B333="""", 0, COUNTA(SPLIT(TRIM(B333), "" "")))"),20.0)</f>
        <v>20</v>
      </c>
      <c r="F333" s="5">
        <f>IFERROR(__xludf.DUMMYFUNCTION("IF(C333="""", 0, COUNTA(SPLIT(TRIM(C333), "" "")))"),3.0)</f>
        <v>3</v>
      </c>
    </row>
    <row r="334">
      <c r="A334" s="4">
        <v>333.0</v>
      </c>
      <c r="B334" s="27" t="s">
        <v>353</v>
      </c>
      <c r="C334" s="3" t="s">
        <v>354</v>
      </c>
      <c r="D334" s="3">
        <v>73.0</v>
      </c>
      <c r="E334" s="5">
        <f>IFERROR(__xludf.DUMMYFUNCTION("IF(B334="""", 0, COUNTA(SPLIT(TRIM(B334), "" "")))"),7.0)</f>
        <v>7</v>
      </c>
      <c r="F334" s="5">
        <f>IFERROR(__xludf.DUMMYFUNCTION("IF(C334="""", 0, COUNTA(SPLIT(TRIM(C334), "" "")))"),2.0)</f>
        <v>2</v>
      </c>
    </row>
    <row r="335">
      <c r="A335" s="4">
        <v>334.0</v>
      </c>
      <c r="B335" s="2" t="s">
        <v>367</v>
      </c>
      <c r="C335" s="25" t="s">
        <v>368</v>
      </c>
      <c r="D335" s="3">
        <v>80.0</v>
      </c>
      <c r="E335" s="5">
        <f>IFERROR(__xludf.DUMMYFUNCTION("IF(B335="""", 0, COUNTA(SPLIT(TRIM(B335), "" "")))"),7.0)</f>
        <v>7</v>
      </c>
      <c r="F335" s="5">
        <f>IFERROR(__xludf.DUMMYFUNCTION("IF(C335="""", 0, COUNTA(SPLIT(TRIM(C335), "" "")))"),5.0)</f>
        <v>5</v>
      </c>
    </row>
    <row r="336">
      <c r="A336" s="16">
        <v>335.0</v>
      </c>
      <c r="B336" s="17" t="s">
        <v>381</v>
      </c>
      <c r="C336" s="25" t="s">
        <v>382</v>
      </c>
      <c r="D336" s="3">
        <v>28.0</v>
      </c>
      <c r="E336" s="5">
        <f>IFERROR(__xludf.DUMMYFUNCTION("IF(B336="""", 0, COUNTA(SPLIT(TRIM(B336), "" "")))"),16.0)</f>
        <v>16</v>
      </c>
      <c r="F336" s="5">
        <f>IFERROR(__xludf.DUMMYFUNCTION("IF(C336="""", 0, COUNTA(SPLIT(TRIM(C336), "" "")))"),7.0)</f>
        <v>7</v>
      </c>
    </row>
    <row r="337">
      <c r="A337" s="4">
        <v>336.0</v>
      </c>
      <c r="B337" s="2" t="s">
        <v>400</v>
      </c>
      <c r="C337" s="3" t="s">
        <v>401</v>
      </c>
      <c r="D337" s="3">
        <v>84.0</v>
      </c>
      <c r="E337" s="5">
        <f>IFERROR(__xludf.DUMMYFUNCTION("IF(B337="""", 0, COUNTA(SPLIT(TRIM(B337), "" "")))"),19.0)</f>
        <v>19</v>
      </c>
      <c r="F337" s="5">
        <f>IFERROR(__xludf.DUMMYFUNCTION("IF(C337="""", 0, COUNTA(SPLIT(TRIM(C337), "" "")))"),2.0)</f>
        <v>2</v>
      </c>
    </row>
    <row r="338">
      <c r="A338" s="16">
        <v>337.0</v>
      </c>
      <c r="B338" s="17" t="s">
        <v>411</v>
      </c>
      <c r="C338" s="25" t="s">
        <v>412</v>
      </c>
      <c r="D338" s="3">
        <v>69.0</v>
      </c>
      <c r="E338" s="5">
        <f>IFERROR(__xludf.DUMMYFUNCTION("IF(B338="""", 0, COUNTA(SPLIT(TRIM(B338), "" "")))"),12.0)</f>
        <v>12</v>
      </c>
      <c r="F338" s="5">
        <f>IFERROR(__xludf.DUMMYFUNCTION("IF(C338="""", 0, COUNTA(SPLIT(TRIM(C338), "" "")))"),10.0)</f>
        <v>10</v>
      </c>
    </row>
    <row r="339">
      <c r="A339" s="4">
        <v>338.0</v>
      </c>
      <c r="B339" s="2" t="s">
        <v>429</v>
      </c>
      <c r="C339" s="3" t="s">
        <v>430</v>
      </c>
      <c r="D339" s="3">
        <v>43.0</v>
      </c>
      <c r="E339" s="5">
        <f>IFERROR(__xludf.DUMMYFUNCTION("IF(B339="""", 0, COUNTA(SPLIT(TRIM(B339), "" "")))"),16.0)</f>
        <v>16</v>
      </c>
      <c r="F339" s="5">
        <f>IFERROR(__xludf.DUMMYFUNCTION("IF(C339="""", 0, COUNTA(SPLIT(TRIM(C339), "" "")))"),1.0)</f>
        <v>1</v>
      </c>
    </row>
    <row r="340">
      <c r="A340" s="4">
        <v>339.0</v>
      </c>
      <c r="B340" s="2" t="s">
        <v>447</v>
      </c>
      <c r="C340" s="3" t="s">
        <v>448</v>
      </c>
      <c r="D340" s="3">
        <v>43.0</v>
      </c>
      <c r="E340" s="5">
        <f>IFERROR(__xludf.DUMMYFUNCTION("IF(B340="""", 0, COUNTA(SPLIT(TRIM(B340), "" "")))"),21.0)</f>
        <v>21</v>
      </c>
      <c r="F340" s="5">
        <f>IFERROR(__xludf.DUMMYFUNCTION("IF(C340="""", 0, COUNTA(SPLIT(TRIM(C340), "" "")))"),2.0)</f>
        <v>2</v>
      </c>
    </row>
    <row r="341">
      <c r="A341" s="4">
        <v>340.0</v>
      </c>
      <c r="B341" s="2" t="s">
        <v>463</v>
      </c>
      <c r="C341" s="3" t="s">
        <v>464</v>
      </c>
      <c r="D341" s="3">
        <v>77.0</v>
      </c>
      <c r="E341" s="5">
        <f>IFERROR(__xludf.DUMMYFUNCTION("IF(B341="""", 0, COUNTA(SPLIT(TRIM(B341), "" "")))"),13.0)</f>
        <v>13</v>
      </c>
      <c r="F341" s="5">
        <f>IFERROR(__xludf.DUMMYFUNCTION("IF(C341="""", 0, COUNTA(SPLIT(TRIM(C341), "" "")))"),1.0)</f>
        <v>1</v>
      </c>
    </row>
    <row r="342">
      <c r="A342" s="4">
        <v>341.0</v>
      </c>
      <c r="B342" s="2" t="s">
        <v>476</v>
      </c>
      <c r="C342" s="3" t="s">
        <v>477</v>
      </c>
      <c r="D342" s="3">
        <v>55.0</v>
      </c>
      <c r="E342" s="5">
        <f>IFERROR(__xludf.DUMMYFUNCTION("IF(B342="""", 0, COUNTA(SPLIT(TRIM(B342), "" "")))"),8.0)</f>
        <v>8</v>
      </c>
      <c r="F342" s="5">
        <f>IFERROR(__xludf.DUMMYFUNCTION("IF(C342="""", 0, COUNTA(SPLIT(TRIM(C342), "" "")))"),1.0)</f>
        <v>1</v>
      </c>
    </row>
    <row r="343">
      <c r="A343" s="4">
        <v>342.0</v>
      </c>
      <c r="B343" s="2" t="s">
        <v>488</v>
      </c>
      <c r="C343" s="3" t="s">
        <v>489</v>
      </c>
      <c r="D343" s="3">
        <v>95.0</v>
      </c>
      <c r="E343" s="5">
        <f>IFERROR(__xludf.DUMMYFUNCTION("IF(B343="""", 0, COUNTA(SPLIT(TRIM(B343), "" "")))"),8.0)</f>
        <v>8</v>
      </c>
      <c r="F343" s="5">
        <f>IFERROR(__xludf.DUMMYFUNCTION("IF(C343="""", 0, COUNTA(SPLIT(TRIM(C343), "" "")))"),2.0)</f>
        <v>2</v>
      </c>
    </row>
    <row r="344">
      <c r="A344" s="4">
        <v>343.0</v>
      </c>
      <c r="B344" s="27" t="s">
        <v>502</v>
      </c>
      <c r="C344" s="25" t="s">
        <v>503</v>
      </c>
      <c r="D344" s="3">
        <v>74.0</v>
      </c>
      <c r="E344" s="5">
        <f>IFERROR(__xludf.DUMMYFUNCTION("IF(B344="""", 0, COUNTA(SPLIT(TRIM(B344), "" "")))"),11.0)</f>
        <v>11</v>
      </c>
      <c r="F344" s="5">
        <f>IFERROR(__xludf.DUMMYFUNCTION("IF(C344="""", 0, COUNTA(SPLIT(TRIM(C344), "" "")))"),9.0)</f>
        <v>9</v>
      </c>
    </row>
    <row r="345">
      <c r="A345" s="4">
        <v>344.0</v>
      </c>
      <c r="B345" s="2" t="s">
        <v>516</v>
      </c>
      <c r="C345" s="3" t="s">
        <v>517</v>
      </c>
      <c r="D345" s="3">
        <v>86.0</v>
      </c>
      <c r="E345" s="5">
        <f>IFERROR(__xludf.DUMMYFUNCTION("IF(B345="""", 0, COUNTA(SPLIT(TRIM(B345), "" "")))"),14.0)</f>
        <v>14</v>
      </c>
      <c r="F345" s="5">
        <f>IFERROR(__xludf.DUMMYFUNCTION("IF(C345="""", 0, COUNTA(SPLIT(TRIM(C345), "" "")))"),1.0)</f>
        <v>1</v>
      </c>
    </row>
    <row r="346">
      <c r="A346" s="4">
        <v>345.0</v>
      </c>
      <c r="B346" s="2" t="s">
        <v>528</v>
      </c>
      <c r="C346" s="3" t="s">
        <v>598</v>
      </c>
      <c r="D346" s="3">
        <v>21.0</v>
      </c>
      <c r="E346" s="5">
        <f>IFERROR(__xludf.DUMMYFUNCTION("IF(B346="""", 0, COUNTA(SPLIT(TRIM(B346), "" "")))"),14.0)</f>
        <v>14</v>
      </c>
      <c r="F346" s="5">
        <f>IFERROR(__xludf.DUMMYFUNCTION("IF(C346="""", 0, COUNTA(SPLIT(TRIM(C346), "" "")))"),3.0)</f>
        <v>3</v>
      </c>
    </row>
    <row r="347">
      <c r="A347" s="4">
        <v>346.0</v>
      </c>
      <c r="B347" s="2" t="s">
        <v>541</v>
      </c>
      <c r="C347" s="3" t="s">
        <v>542</v>
      </c>
      <c r="D347" s="3">
        <v>77.0</v>
      </c>
      <c r="E347" s="5">
        <f>IFERROR(__xludf.DUMMYFUNCTION("IF(B347="""", 0, COUNTA(SPLIT(TRIM(B347), "" "")))"),16.0)</f>
        <v>16</v>
      </c>
      <c r="F347" s="5">
        <f>IFERROR(__xludf.DUMMYFUNCTION("IF(C347="""", 0, COUNTA(SPLIT(TRIM(C347), "" "")))"),3.0)</f>
        <v>3</v>
      </c>
    </row>
    <row r="348">
      <c r="A348" s="16">
        <v>347.0</v>
      </c>
      <c r="B348" s="17" t="s">
        <v>599</v>
      </c>
      <c r="C348" s="3" t="s">
        <v>554</v>
      </c>
      <c r="D348" s="3">
        <v>64.0</v>
      </c>
      <c r="E348" s="5">
        <f>IFERROR(__xludf.DUMMYFUNCTION("IF(B348="""", 0, COUNTA(SPLIT(TRIM(B348), "" "")))"),6.0)</f>
        <v>6</v>
      </c>
      <c r="F348" s="5">
        <f>IFERROR(__xludf.DUMMYFUNCTION("IF(C348="""", 0, COUNTA(SPLIT(TRIM(C348), "" "")))"),1.0)</f>
        <v>1</v>
      </c>
    </row>
    <row r="349">
      <c r="A349" s="4">
        <v>348.0</v>
      </c>
      <c r="B349" s="2" t="s">
        <v>322</v>
      </c>
      <c r="C349" s="3" t="s">
        <v>323</v>
      </c>
      <c r="D349" s="3">
        <v>91.0</v>
      </c>
      <c r="E349" s="5">
        <f>IFERROR(__xludf.DUMMYFUNCTION("IF(B349="""", 0, COUNTA(SPLIT(TRIM(B349), "" "")))"),55.0)</f>
        <v>55</v>
      </c>
      <c r="F349" s="5">
        <f>IFERROR(__xludf.DUMMYFUNCTION("IF(C349="""", 0, COUNTA(SPLIT(TRIM(C349), "" "")))"),3.0)</f>
        <v>3</v>
      </c>
    </row>
    <row r="350">
      <c r="A350" s="4">
        <v>349.0</v>
      </c>
      <c r="B350" s="2" t="s">
        <v>339</v>
      </c>
      <c r="C350" s="3" t="s">
        <v>340</v>
      </c>
      <c r="D350" s="3">
        <v>10.0</v>
      </c>
      <c r="E350" s="5">
        <f>IFERROR(__xludf.DUMMYFUNCTION("IF(B350="""", 0, COUNTA(SPLIT(TRIM(B350), "" "")))"),17.0)</f>
        <v>17</v>
      </c>
      <c r="F350" s="5">
        <f>IFERROR(__xludf.DUMMYFUNCTION("IF(C350="""", 0, COUNTA(SPLIT(TRIM(C350), "" "")))"),3.0)</f>
        <v>3</v>
      </c>
    </row>
    <row r="351">
      <c r="A351" s="4">
        <v>350.0</v>
      </c>
      <c r="B351" s="2" t="s">
        <v>355</v>
      </c>
      <c r="C351" s="3" t="s">
        <v>356</v>
      </c>
      <c r="D351" s="3">
        <v>83.0</v>
      </c>
      <c r="E351" s="5">
        <f>IFERROR(__xludf.DUMMYFUNCTION("IF(B351="""", 0, COUNTA(SPLIT(TRIM(B351), "" "")))"),17.0)</f>
        <v>17</v>
      </c>
      <c r="F351" s="5">
        <f>IFERROR(__xludf.DUMMYFUNCTION("IF(C351="""", 0, COUNTA(SPLIT(TRIM(C351), "" "")))"),1.0)</f>
        <v>1</v>
      </c>
    </row>
    <row r="352">
      <c r="A352" s="16">
        <v>351.0</v>
      </c>
      <c r="B352" s="17" t="s">
        <v>383</v>
      </c>
      <c r="C352" s="25" t="s">
        <v>384</v>
      </c>
      <c r="D352" s="3">
        <v>8.0</v>
      </c>
      <c r="E352" s="5">
        <f>IFERROR(__xludf.DUMMYFUNCTION("IF(B352="""", 0, COUNTA(SPLIT(TRIM(B352), "" "")))"),9.0)</f>
        <v>9</v>
      </c>
      <c r="F352" s="5">
        <f>IFERROR(__xludf.DUMMYFUNCTION("IF(C352="""", 0, COUNTA(SPLIT(TRIM(C352), "" "")))"),7.0)</f>
        <v>7</v>
      </c>
    </row>
    <row r="353">
      <c r="A353" s="4">
        <v>352.0</v>
      </c>
      <c r="B353" s="2" t="s">
        <v>431</v>
      </c>
      <c r="C353" s="3" t="s">
        <v>432</v>
      </c>
      <c r="D353" s="3">
        <v>3.0</v>
      </c>
      <c r="E353" s="5">
        <f>IFERROR(__xludf.DUMMYFUNCTION("IF(B353="""", 0, COUNTA(SPLIT(TRIM(B353), "" "")))"),15.0)</f>
        <v>15</v>
      </c>
      <c r="F353" s="5">
        <f>IFERROR(__xludf.DUMMYFUNCTION("IF(C353="""", 0, COUNTA(SPLIT(TRIM(C353), "" "")))"),3.0)</f>
        <v>3</v>
      </c>
    </row>
    <row r="354">
      <c r="A354" s="4">
        <v>353.0</v>
      </c>
      <c r="B354" s="2" t="s">
        <v>600</v>
      </c>
      <c r="C354" s="3" t="s">
        <v>450</v>
      </c>
      <c r="D354" s="3">
        <v>93.0</v>
      </c>
      <c r="E354" s="5">
        <f>IFERROR(__xludf.DUMMYFUNCTION("IF(B354="""", 0, COUNTA(SPLIT(TRIM(B354), "" "")))"),12.0)</f>
        <v>12</v>
      </c>
      <c r="F354" s="5">
        <f>IFERROR(__xludf.DUMMYFUNCTION("IF(C354="""", 0, COUNTA(SPLIT(TRIM(C354), "" "")))"),2.0)</f>
        <v>2</v>
      </c>
    </row>
    <row r="355">
      <c r="A355" s="4">
        <v>354.0</v>
      </c>
      <c r="B355" s="2" t="s">
        <v>465</v>
      </c>
      <c r="C355" s="3" t="s">
        <v>466</v>
      </c>
      <c r="D355" s="3">
        <v>57.0</v>
      </c>
      <c r="E355" s="5">
        <f>IFERROR(__xludf.DUMMYFUNCTION("IF(B355="""", 0, COUNTA(SPLIT(TRIM(B355), "" "")))"),10.0)</f>
        <v>10</v>
      </c>
      <c r="F355" s="5">
        <f>IFERROR(__xludf.DUMMYFUNCTION("IF(C355="""", 0, COUNTA(SPLIT(TRIM(C355), "" "")))"),2.0)</f>
        <v>2</v>
      </c>
    </row>
    <row r="356">
      <c r="A356" s="4">
        <v>355.0</v>
      </c>
      <c r="B356" s="2" t="s">
        <v>490</v>
      </c>
      <c r="C356" s="25" t="s">
        <v>491</v>
      </c>
      <c r="D356" s="3">
        <v>95.0</v>
      </c>
      <c r="E356" s="5">
        <f>IFERROR(__xludf.DUMMYFUNCTION("IF(B356="""", 0, COUNTA(SPLIT(TRIM(B356), "" "")))"),16.0)</f>
        <v>16</v>
      </c>
      <c r="F356" s="5">
        <f>IFERROR(__xludf.DUMMYFUNCTION("IF(C356="""", 0, COUNTA(SPLIT(TRIM(C356), "" "")))"),2.0)</f>
        <v>2</v>
      </c>
    </row>
    <row r="357">
      <c r="A357" s="4">
        <v>356.0</v>
      </c>
      <c r="B357" s="2" t="s">
        <v>518</v>
      </c>
      <c r="C357" s="53">
        <v>0.8125</v>
      </c>
      <c r="D357" s="3">
        <v>96.0</v>
      </c>
      <c r="E357" s="5">
        <f>IFERROR(__xludf.DUMMYFUNCTION("IF(B357="""", 0, COUNTA(SPLIT(TRIM(B357), "" "")))"),16.0)</f>
        <v>16</v>
      </c>
      <c r="F357" s="5">
        <f>IFERROR(__xludf.DUMMYFUNCTION("IF(C357="""", 0, COUNTA(SPLIT(TRIM(C357), "" "")))"),1.0)</f>
        <v>1</v>
      </c>
    </row>
    <row r="358">
      <c r="A358" s="4">
        <v>357.0</v>
      </c>
      <c r="B358" s="2" t="s">
        <v>543</v>
      </c>
      <c r="C358" s="3" t="s">
        <v>283</v>
      </c>
      <c r="D358" s="3">
        <v>97.0</v>
      </c>
      <c r="E358" s="5">
        <f>IFERROR(__xludf.DUMMYFUNCTION("IF(B358="""", 0, COUNTA(SPLIT(TRIM(B358), "" "")))"),14.0)</f>
        <v>14</v>
      </c>
      <c r="F358" s="5">
        <f>IFERROR(__xludf.DUMMYFUNCTION("IF(C358="""", 0, COUNTA(SPLIT(TRIM(C358), "" "")))"),2.0)</f>
        <v>2</v>
      </c>
    </row>
    <row r="359">
      <c r="B359" s="59"/>
      <c r="C359" s="60"/>
      <c r="D359" s="60"/>
    </row>
    <row r="360">
      <c r="B360" s="59"/>
      <c r="C360" s="60"/>
      <c r="D360" s="60"/>
    </row>
    <row r="361">
      <c r="B361" s="59"/>
      <c r="C361" s="60"/>
      <c r="D361" s="60"/>
    </row>
    <row r="362">
      <c r="B362" s="59"/>
      <c r="C362" s="60"/>
      <c r="D362" s="60"/>
    </row>
    <row r="363">
      <c r="B363" s="59"/>
      <c r="C363" s="60"/>
      <c r="D363" s="60"/>
    </row>
    <row r="364">
      <c r="B364" s="59"/>
      <c r="C364" s="60"/>
      <c r="D364" s="60"/>
    </row>
    <row r="365">
      <c r="B365" s="59"/>
      <c r="C365" s="60"/>
      <c r="D365" s="60"/>
    </row>
    <row r="366">
      <c r="B366" s="59"/>
      <c r="C366" s="60"/>
      <c r="D366" s="60"/>
    </row>
    <row r="367">
      <c r="B367" s="59"/>
      <c r="C367" s="60"/>
      <c r="D367" s="60"/>
    </row>
    <row r="368">
      <c r="B368" s="59"/>
      <c r="C368" s="60"/>
      <c r="D368" s="60"/>
    </row>
    <row r="369">
      <c r="B369" s="59"/>
      <c r="C369" s="60"/>
      <c r="D369" s="60"/>
    </row>
    <row r="370">
      <c r="B370" s="59"/>
      <c r="C370" s="60"/>
      <c r="D370" s="60"/>
    </row>
    <row r="371">
      <c r="B371" s="59"/>
      <c r="C371" s="60"/>
      <c r="D371" s="60"/>
    </row>
    <row r="372">
      <c r="B372" s="59"/>
      <c r="C372" s="60"/>
      <c r="D372" s="60"/>
    </row>
    <row r="373">
      <c r="B373" s="59"/>
      <c r="C373" s="60"/>
      <c r="D373" s="60"/>
    </row>
    <row r="374">
      <c r="B374" s="59"/>
      <c r="C374" s="60"/>
      <c r="D374" s="60"/>
    </row>
    <row r="375">
      <c r="B375" s="59"/>
      <c r="C375" s="60"/>
      <c r="D375" s="60"/>
    </row>
    <row r="376">
      <c r="B376" s="59"/>
      <c r="C376" s="60"/>
      <c r="D376" s="60"/>
    </row>
    <row r="377">
      <c r="B377" s="59"/>
      <c r="C377" s="60"/>
      <c r="D377" s="60"/>
    </row>
    <row r="378">
      <c r="B378" s="59"/>
      <c r="C378" s="60"/>
      <c r="D378" s="60"/>
    </row>
    <row r="379">
      <c r="B379" s="59"/>
      <c r="C379" s="60"/>
      <c r="D379" s="60"/>
    </row>
    <row r="380">
      <c r="B380" s="59"/>
      <c r="C380" s="60"/>
      <c r="D380" s="60"/>
    </row>
    <row r="381">
      <c r="B381" s="59"/>
      <c r="C381" s="60"/>
      <c r="D381" s="60"/>
    </row>
    <row r="382">
      <c r="B382" s="59"/>
      <c r="C382" s="60"/>
      <c r="D382" s="60"/>
    </row>
    <row r="383">
      <c r="B383" s="59"/>
      <c r="C383" s="60"/>
      <c r="D383" s="60"/>
    </row>
    <row r="384">
      <c r="B384" s="59"/>
      <c r="C384" s="60"/>
      <c r="D384" s="60"/>
    </row>
    <row r="385">
      <c r="B385" s="59"/>
      <c r="C385" s="60"/>
      <c r="D385" s="60"/>
    </row>
    <row r="386">
      <c r="B386" s="59"/>
      <c r="C386" s="60"/>
      <c r="D386" s="60"/>
    </row>
    <row r="387">
      <c r="B387" s="59"/>
      <c r="C387" s="60"/>
      <c r="D387" s="60"/>
    </row>
    <row r="388">
      <c r="B388" s="59"/>
      <c r="C388" s="60"/>
      <c r="D388" s="60"/>
    </row>
    <row r="389">
      <c r="B389" s="59"/>
      <c r="C389" s="60"/>
      <c r="D389" s="60"/>
    </row>
    <row r="390">
      <c r="B390" s="59"/>
      <c r="C390" s="60"/>
      <c r="D390" s="60"/>
    </row>
    <row r="391">
      <c r="B391" s="59"/>
      <c r="C391" s="60"/>
      <c r="D391" s="60"/>
    </row>
    <row r="392">
      <c r="B392" s="59"/>
      <c r="C392" s="60"/>
      <c r="D392" s="60"/>
    </row>
    <row r="393">
      <c r="B393" s="59"/>
      <c r="C393" s="60"/>
      <c r="D393" s="60"/>
    </row>
    <row r="394">
      <c r="B394" s="59"/>
      <c r="C394" s="60"/>
      <c r="D394" s="60"/>
    </row>
    <row r="395">
      <c r="B395" s="59"/>
      <c r="C395" s="60"/>
      <c r="D395" s="60"/>
    </row>
    <row r="396">
      <c r="B396" s="59"/>
      <c r="C396" s="60"/>
      <c r="D396" s="60"/>
    </row>
    <row r="397">
      <c r="B397" s="59"/>
      <c r="C397" s="60"/>
      <c r="D397" s="60"/>
    </row>
    <row r="398">
      <c r="B398" s="59"/>
      <c r="C398" s="60"/>
      <c r="D398" s="60"/>
    </row>
    <row r="399">
      <c r="B399" s="59"/>
      <c r="C399" s="60"/>
      <c r="D399" s="60"/>
    </row>
    <row r="400">
      <c r="B400" s="59"/>
      <c r="C400" s="60"/>
      <c r="D400" s="60"/>
    </row>
    <row r="401">
      <c r="B401" s="59"/>
      <c r="C401" s="60"/>
      <c r="D401" s="60"/>
    </row>
    <row r="402">
      <c r="B402" s="59"/>
      <c r="C402" s="60"/>
      <c r="D402" s="60"/>
    </row>
    <row r="403">
      <c r="B403" s="59"/>
      <c r="C403" s="60"/>
      <c r="D403" s="60"/>
    </row>
    <row r="404">
      <c r="B404" s="59"/>
      <c r="C404" s="60"/>
      <c r="D404" s="60"/>
    </row>
    <row r="405">
      <c r="B405" s="59"/>
      <c r="C405" s="60"/>
      <c r="D405" s="60"/>
    </row>
    <row r="406">
      <c r="B406" s="59"/>
      <c r="C406" s="60"/>
      <c r="D406" s="60"/>
    </row>
    <row r="407">
      <c r="B407" s="59"/>
      <c r="C407" s="60"/>
      <c r="D407" s="60"/>
    </row>
    <row r="408">
      <c r="B408" s="59"/>
      <c r="C408" s="60"/>
      <c r="D408" s="60"/>
    </row>
    <row r="409">
      <c r="B409" s="59"/>
      <c r="C409" s="60"/>
      <c r="D409" s="60"/>
    </row>
    <row r="410">
      <c r="B410" s="59"/>
      <c r="C410" s="60"/>
      <c r="D410" s="60"/>
    </row>
    <row r="411">
      <c r="B411" s="59"/>
      <c r="C411" s="60"/>
      <c r="D411" s="60"/>
    </row>
    <row r="412">
      <c r="B412" s="59"/>
      <c r="C412" s="60"/>
      <c r="D412" s="60"/>
    </row>
    <row r="413">
      <c r="B413" s="59"/>
      <c r="C413" s="60"/>
      <c r="D413" s="60"/>
    </row>
    <row r="414">
      <c r="B414" s="59"/>
      <c r="C414" s="60"/>
      <c r="D414" s="60"/>
    </row>
    <row r="415">
      <c r="B415" s="59"/>
      <c r="C415" s="60"/>
      <c r="D415" s="60"/>
    </row>
    <row r="416">
      <c r="B416" s="59"/>
      <c r="C416" s="60"/>
      <c r="D416" s="60"/>
    </row>
    <row r="417">
      <c r="B417" s="59"/>
      <c r="C417" s="60"/>
      <c r="D417" s="60"/>
    </row>
    <row r="418">
      <c r="B418" s="59"/>
      <c r="C418" s="60"/>
      <c r="D418" s="60"/>
    </row>
    <row r="419">
      <c r="B419" s="59"/>
      <c r="C419" s="60"/>
      <c r="D419" s="60"/>
    </row>
    <row r="420">
      <c r="B420" s="59"/>
      <c r="C420" s="60"/>
      <c r="D420" s="60"/>
    </row>
    <row r="421">
      <c r="B421" s="59"/>
      <c r="C421" s="60"/>
      <c r="D421" s="60"/>
    </row>
    <row r="422">
      <c r="B422" s="59"/>
      <c r="C422" s="60"/>
      <c r="D422" s="60"/>
    </row>
    <row r="423">
      <c r="B423" s="59"/>
      <c r="C423" s="60"/>
      <c r="D423" s="60"/>
    </row>
    <row r="424">
      <c r="B424" s="59"/>
      <c r="C424" s="60"/>
      <c r="D424" s="60"/>
    </row>
    <row r="425">
      <c r="B425" s="59"/>
      <c r="C425" s="60"/>
      <c r="D425" s="60"/>
    </row>
    <row r="426">
      <c r="B426" s="59"/>
      <c r="C426" s="60"/>
      <c r="D426" s="60"/>
    </row>
    <row r="427">
      <c r="B427" s="59"/>
      <c r="C427" s="60"/>
      <c r="D427" s="60"/>
    </row>
    <row r="428">
      <c r="B428" s="59"/>
      <c r="C428" s="60"/>
      <c r="D428" s="60"/>
    </row>
    <row r="429">
      <c r="B429" s="59"/>
      <c r="C429" s="60"/>
      <c r="D429" s="60"/>
    </row>
    <row r="430">
      <c r="B430" s="59"/>
      <c r="C430" s="60"/>
      <c r="D430" s="60"/>
    </row>
    <row r="431">
      <c r="B431" s="59"/>
      <c r="C431" s="60"/>
      <c r="D431" s="60"/>
    </row>
    <row r="432">
      <c r="B432" s="59"/>
      <c r="C432" s="60"/>
      <c r="D432" s="60"/>
    </row>
    <row r="433">
      <c r="B433" s="59"/>
      <c r="C433" s="60"/>
      <c r="D433" s="60"/>
    </row>
    <row r="434">
      <c r="B434" s="59"/>
      <c r="C434" s="60"/>
      <c r="D434" s="60"/>
    </row>
    <row r="435">
      <c r="B435" s="59"/>
      <c r="C435" s="60"/>
      <c r="D435" s="60"/>
    </row>
    <row r="436">
      <c r="B436" s="59"/>
      <c r="C436" s="60"/>
      <c r="D436" s="60"/>
    </row>
    <row r="437">
      <c r="B437" s="59"/>
      <c r="C437" s="60"/>
      <c r="D437" s="60"/>
    </row>
    <row r="438">
      <c r="B438" s="59"/>
      <c r="C438" s="60"/>
      <c r="D438" s="60"/>
    </row>
    <row r="439">
      <c r="B439" s="59"/>
      <c r="C439" s="60"/>
      <c r="D439" s="60"/>
    </row>
    <row r="440">
      <c r="B440" s="59"/>
      <c r="C440" s="60"/>
      <c r="D440" s="60"/>
    </row>
    <row r="441">
      <c r="B441" s="59"/>
      <c r="C441" s="60"/>
      <c r="D441" s="60"/>
    </row>
    <row r="442">
      <c r="B442" s="59"/>
      <c r="C442" s="60"/>
      <c r="D442" s="60"/>
    </row>
    <row r="443">
      <c r="B443" s="59"/>
      <c r="C443" s="60"/>
      <c r="D443" s="60"/>
    </row>
    <row r="444">
      <c r="B444" s="59"/>
      <c r="C444" s="60"/>
      <c r="D444" s="60"/>
    </row>
    <row r="445">
      <c r="B445" s="59"/>
      <c r="C445" s="60"/>
      <c r="D445" s="60"/>
    </row>
    <row r="446">
      <c r="B446" s="59"/>
      <c r="C446" s="60"/>
      <c r="D446" s="60"/>
    </row>
    <row r="447">
      <c r="B447" s="59"/>
      <c r="C447" s="60"/>
      <c r="D447" s="60"/>
    </row>
    <row r="448">
      <c r="B448" s="59"/>
      <c r="C448" s="60"/>
      <c r="D448" s="60"/>
    </row>
    <row r="449">
      <c r="B449" s="59"/>
      <c r="C449" s="60"/>
      <c r="D449" s="60"/>
    </row>
    <row r="450">
      <c r="B450" s="59"/>
      <c r="C450" s="60"/>
      <c r="D450" s="60"/>
    </row>
    <row r="451">
      <c r="B451" s="59"/>
      <c r="C451" s="60"/>
      <c r="D451" s="60"/>
    </row>
    <row r="452">
      <c r="B452" s="59"/>
      <c r="C452" s="60"/>
      <c r="D452" s="60"/>
    </row>
    <row r="453">
      <c r="B453" s="59"/>
      <c r="C453" s="60"/>
      <c r="D453" s="60"/>
    </row>
    <row r="454">
      <c r="B454" s="59"/>
      <c r="C454" s="60"/>
      <c r="D454" s="60"/>
    </row>
    <row r="455">
      <c r="B455" s="59"/>
      <c r="C455" s="60"/>
      <c r="D455" s="60"/>
    </row>
    <row r="456">
      <c r="B456" s="59"/>
      <c r="C456" s="60"/>
      <c r="D456" s="60"/>
    </row>
    <row r="457">
      <c r="B457" s="59"/>
      <c r="C457" s="60"/>
      <c r="D457" s="60"/>
    </row>
    <row r="458">
      <c r="B458" s="59"/>
      <c r="C458" s="60"/>
      <c r="D458" s="60"/>
    </row>
    <row r="459">
      <c r="B459" s="59"/>
      <c r="C459" s="60"/>
      <c r="D459" s="60"/>
    </row>
    <row r="460">
      <c r="B460" s="59"/>
      <c r="C460" s="60"/>
      <c r="D460" s="60"/>
    </row>
    <row r="461">
      <c r="B461" s="59"/>
      <c r="C461" s="60"/>
      <c r="D461" s="60"/>
    </row>
    <row r="462">
      <c r="B462" s="59"/>
      <c r="C462" s="60"/>
      <c r="D462" s="60"/>
    </row>
    <row r="463">
      <c r="B463" s="59"/>
      <c r="C463" s="60"/>
      <c r="D463" s="60"/>
    </row>
    <row r="464">
      <c r="B464" s="59"/>
      <c r="C464" s="60"/>
      <c r="D464" s="60"/>
    </row>
    <row r="465">
      <c r="B465" s="59"/>
      <c r="C465" s="60"/>
      <c r="D465" s="60"/>
    </row>
    <row r="466">
      <c r="B466" s="59"/>
      <c r="C466" s="60"/>
      <c r="D466" s="60"/>
    </row>
    <row r="467">
      <c r="B467" s="59"/>
      <c r="C467" s="60"/>
      <c r="D467" s="60"/>
    </row>
    <row r="468">
      <c r="B468" s="59"/>
      <c r="C468" s="60"/>
      <c r="D468" s="60"/>
    </row>
    <row r="469">
      <c r="B469" s="59"/>
      <c r="C469" s="60"/>
      <c r="D469" s="60"/>
    </row>
    <row r="470">
      <c r="B470" s="59"/>
      <c r="C470" s="60"/>
      <c r="D470" s="60"/>
    </row>
    <row r="471">
      <c r="B471" s="59"/>
      <c r="C471" s="60"/>
      <c r="D471" s="60"/>
    </row>
    <row r="472">
      <c r="B472" s="59"/>
      <c r="C472" s="60"/>
      <c r="D472" s="60"/>
    </row>
    <row r="473">
      <c r="B473" s="59"/>
      <c r="C473" s="60"/>
      <c r="D473" s="60"/>
    </row>
    <row r="474">
      <c r="B474" s="59"/>
      <c r="C474" s="60"/>
      <c r="D474" s="60"/>
    </row>
    <row r="475">
      <c r="B475" s="59"/>
      <c r="C475" s="60"/>
      <c r="D475" s="60"/>
    </row>
    <row r="476">
      <c r="B476" s="59"/>
      <c r="C476" s="60"/>
      <c r="D476" s="60"/>
    </row>
    <row r="477">
      <c r="B477" s="59"/>
      <c r="C477" s="60"/>
      <c r="D477" s="60"/>
    </row>
    <row r="478">
      <c r="B478" s="59"/>
      <c r="C478" s="60"/>
      <c r="D478" s="60"/>
    </row>
    <row r="479">
      <c r="B479" s="59"/>
      <c r="C479" s="60"/>
      <c r="D479" s="60"/>
    </row>
    <row r="480">
      <c r="B480" s="59"/>
      <c r="C480" s="60"/>
      <c r="D480" s="60"/>
    </row>
    <row r="481">
      <c r="B481" s="59"/>
      <c r="C481" s="60"/>
      <c r="D481" s="60"/>
    </row>
    <row r="482">
      <c r="B482" s="59"/>
      <c r="C482" s="60"/>
      <c r="D482" s="60"/>
    </row>
    <row r="483">
      <c r="B483" s="59"/>
      <c r="C483" s="60"/>
      <c r="D483" s="60"/>
    </row>
    <row r="484">
      <c r="B484" s="59"/>
      <c r="C484" s="60"/>
      <c r="D484" s="60"/>
    </row>
    <row r="485">
      <c r="B485" s="59"/>
      <c r="C485" s="60"/>
      <c r="D485" s="60"/>
    </row>
    <row r="486">
      <c r="B486" s="59"/>
      <c r="C486" s="60"/>
      <c r="D486" s="60"/>
    </row>
    <row r="487">
      <c r="B487" s="59"/>
      <c r="C487" s="60"/>
      <c r="D487" s="60"/>
    </row>
    <row r="488">
      <c r="B488" s="59"/>
      <c r="C488" s="60"/>
      <c r="D488" s="60"/>
    </row>
    <row r="489">
      <c r="B489" s="59"/>
      <c r="C489" s="60"/>
      <c r="D489" s="60"/>
    </row>
    <row r="490">
      <c r="B490" s="59"/>
      <c r="C490" s="60"/>
      <c r="D490" s="60"/>
    </row>
    <row r="491">
      <c r="B491" s="59"/>
      <c r="C491" s="60"/>
      <c r="D491" s="60"/>
    </row>
    <row r="492">
      <c r="B492" s="59"/>
      <c r="C492" s="60"/>
      <c r="D492" s="60"/>
    </row>
    <row r="493">
      <c r="B493" s="59"/>
      <c r="C493" s="60"/>
      <c r="D493" s="60"/>
    </row>
    <row r="494">
      <c r="B494" s="59"/>
      <c r="C494" s="60"/>
      <c r="D494" s="60"/>
    </row>
    <row r="495">
      <c r="B495" s="59"/>
      <c r="C495" s="60"/>
      <c r="D495" s="60"/>
    </row>
    <row r="496">
      <c r="B496" s="59"/>
      <c r="C496" s="60"/>
      <c r="D496" s="60"/>
    </row>
    <row r="497">
      <c r="B497" s="59"/>
      <c r="C497" s="60"/>
      <c r="D497" s="60"/>
    </row>
    <row r="498">
      <c r="B498" s="59"/>
      <c r="C498" s="60"/>
      <c r="D498" s="60"/>
    </row>
    <row r="499">
      <c r="B499" s="59"/>
      <c r="C499" s="60"/>
      <c r="D499" s="60"/>
    </row>
    <row r="500">
      <c r="B500" s="59"/>
      <c r="C500" s="60"/>
      <c r="D500" s="60"/>
    </row>
    <row r="501">
      <c r="B501" s="59"/>
      <c r="C501" s="60"/>
      <c r="D501" s="60"/>
    </row>
    <row r="502">
      <c r="B502" s="59"/>
      <c r="C502" s="60"/>
      <c r="D502" s="60"/>
    </row>
    <row r="503">
      <c r="B503" s="59"/>
      <c r="C503" s="60"/>
      <c r="D503" s="60"/>
    </row>
    <row r="504">
      <c r="B504" s="59"/>
      <c r="C504" s="60"/>
      <c r="D504" s="60"/>
    </row>
    <row r="505">
      <c r="B505" s="59"/>
      <c r="C505" s="60"/>
      <c r="D505" s="60"/>
    </row>
    <row r="506">
      <c r="B506" s="59"/>
      <c r="C506" s="60"/>
      <c r="D506" s="60"/>
    </row>
    <row r="507">
      <c r="B507" s="59"/>
      <c r="C507" s="60"/>
      <c r="D507" s="60"/>
    </row>
    <row r="508">
      <c r="B508" s="59"/>
      <c r="C508" s="60"/>
      <c r="D508" s="60"/>
    </row>
    <row r="509">
      <c r="B509" s="59"/>
      <c r="C509" s="60"/>
      <c r="D509" s="60"/>
    </row>
    <row r="510">
      <c r="B510" s="59"/>
      <c r="C510" s="60"/>
      <c r="D510" s="60"/>
    </row>
    <row r="511">
      <c r="B511" s="59"/>
      <c r="C511" s="60"/>
      <c r="D511" s="60"/>
    </row>
    <row r="512">
      <c r="B512" s="59"/>
      <c r="C512" s="60"/>
      <c r="D512" s="60"/>
    </row>
    <row r="513">
      <c r="B513" s="59"/>
      <c r="C513" s="60"/>
      <c r="D513" s="60"/>
    </row>
    <row r="514">
      <c r="B514" s="59"/>
      <c r="C514" s="60"/>
      <c r="D514" s="60"/>
    </row>
    <row r="515">
      <c r="B515" s="59"/>
      <c r="C515" s="60"/>
      <c r="D515" s="60"/>
    </row>
    <row r="516">
      <c r="B516" s="59"/>
      <c r="C516" s="60"/>
      <c r="D516" s="60"/>
    </row>
    <row r="517">
      <c r="B517" s="59"/>
      <c r="C517" s="60"/>
      <c r="D517" s="60"/>
    </row>
    <row r="518">
      <c r="B518" s="59"/>
      <c r="C518" s="60"/>
      <c r="D518" s="60"/>
    </row>
    <row r="519">
      <c r="B519" s="59"/>
      <c r="C519" s="60"/>
      <c r="D519" s="60"/>
    </row>
    <row r="520">
      <c r="B520" s="59"/>
      <c r="C520" s="60"/>
      <c r="D520" s="60"/>
    </row>
    <row r="521">
      <c r="B521" s="59"/>
      <c r="C521" s="60"/>
      <c r="D521" s="60"/>
    </row>
    <row r="522">
      <c r="B522" s="59"/>
      <c r="C522" s="60"/>
      <c r="D522" s="60"/>
    </row>
    <row r="523">
      <c r="B523" s="59"/>
      <c r="C523" s="60"/>
      <c r="D523" s="60"/>
    </row>
    <row r="524">
      <c r="B524" s="59"/>
      <c r="C524" s="60"/>
      <c r="D524" s="60"/>
    </row>
    <row r="525">
      <c r="B525" s="59"/>
      <c r="C525" s="60"/>
      <c r="D525" s="60"/>
    </row>
    <row r="526">
      <c r="B526" s="59"/>
      <c r="C526" s="60"/>
      <c r="D526" s="60"/>
    </row>
    <row r="527">
      <c r="B527" s="59"/>
      <c r="C527" s="60"/>
      <c r="D527" s="60"/>
    </row>
    <row r="528">
      <c r="B528" s="59"/>
      <c r="C528" s="60"/>
      <c r="D528" s="60"/>
    </row>
    <row r="529">
      <c r="B529" s="59"/>
      <c r="C529" s="60"/>
      <c r="D529" s="60"/>
    </row>
    <row r="530">
      <c r="B530" s="59"/>
      <c r="C530" s="60"/>
      <c r="D530" s="60"/>
    </row>
    <row r="531">
      <c r="B531" s="59"/>
      <c r="C531" s="60"/>
      <c r="D531" s="60"/>
    </row>
    <row r="532">
      <c r="B532" s="59"/>
      <c r="C532" s="60"/>
      <c r="D532" s="60"/>
    </row>
    <row r="533">
      <c r="B533" s="59"/>
      <c r="C533" s="60"/>
      <c r="D533" s="60"/>
    </row>
    <row r="534">
      <c r="B534" s="59"/>
      <c r="C534" s="60"/>
      <c r="D534" s="60"/>
    </row>
    <row r="535">
      <c r="B535" s="59"/>
      <c r="C535" s="60"/>
      <c r="D535" s="60"/>
    </row>
    <row r="536">
      <c r="B536" s="59"/>
      <c r="C536" s="60"/>
      <c r="D536" s="60"/>
    </row>
    <row r="537">
      <c r="B537" s="59"/>
      <c r="C537" s="60"/>
      <c r="D537" s="60"/>
    </row>
    <row r="538">
      <c r="B538" s="59"/>
      <c r="C538" s="60"/>
      <c r="D538" s="60"/>
    </row>
    <row r="539">
      <c r="B539" s="59"/>
      <c r="C539" s="60"/>
      <c r="D539" s="60"/>
    </row>
    <row r="540">
      <c r="B540" s="59"/>
      <c r="C540" s="60"/>
      <c r="D540" s="60"/>
    </row>
    <row r="541">
      <c r="B541" s="59"/>
      <c r="C541" s="60"/>
      <c r="D541" s="60"/>
    </row>
    <row r="542">
      <c r="B542" s="59"/>
      <c r="C542" s="60"/>
      <c r="D542" s="60"/>
    </row>
    <row r="543">
      <c r="B543" s="59"/>
      <c r="C543" s="60"/>
      <c r="D543" s="60"/>
    </row>
    <row r="544">
      <c r="B544" s="59"/>
      <c r="C544" s="60"/>
      <c r="D544" s="60"/>
    </row>
    <row r="545">
      <c r="B545" s="59"/>
      <c r="C545" s="60"/>
      <c r="D545" s="60"/>
    </row>
    <row r="546">
      <c r="B546" s="59"/>
      <c r="C546" s="60"/>
      <c r="D546" s="60"/>
    </row>
    <row r="547">
      <c r="B547" s="59"/>
      <c r="C547" s="60"/>
      <c r="D547" s="60"/>
    </row>
    <row r="548">
      <c r="B548" s="59"/>
      <c r="C548" s="60"/>
      <c r="D548" s="60"/>
    </row>
    <row r="549">
      <c r="B549" s="59"/>
      <c r="C549" s="60"/>
      <c r="D549" s="60"/>
    </row>
    <row r="550">
      <c r="B550" s="59"/>
      <c r="C550" s="60"/>
      <c r="D550" s="60"/>
    </row>
    <row r="551">
      <c r="B551" s="59"/>
      <c r="C551" s="60"/>
      <c r="D551" s="60"/>
    </row>
    <row r="552">
      <c r="B552" s="59"/>
      <c r="C552" s="60"/>
      <c r="D552" s="60"/>
    </row>
    <row r="553">
      <c r="B553" s="59"/>
      <c r="C553" s="60"/>
      <c r="D553" s="60"/>
    </row>
    <row r="554">
      <c r="B554" s="59"/>
      <c r="C554" s="60"/>
      <c r="D554" s="60"/>
    </row>
    <row r="555">
      <c r="B555" s="59"/>
      <c r="C555" s="60"/>
      <c r="D555" s="60"/>
    </row>
    <row r="556">
      <c r="B556" s="59"/>
      <c r="C556" s="60"/>
      <c r="D556" s="60"/>
    </row>
    <row r="557">
      <c r="B557" s="59"/>
      <c r="C557" s="60"/>
      <c r="D557" s="60"/>
    </row>
    <row r="558">
      <c r="B558" s="59"/>
      <c r="C558" s="60"/>
      <c r="D558" s="60"/>
    </row>
    <row r="559">
      <c r="B559" s="59"/>
      <c r="C559" s="60"/>
      <c r="D559" s="60"/>
    </row>
    <row r="560">
      <c r="B560" s="59"/>
      <c r="C560" s="60"/>
      <c r="D560" s="60"/>
    </row>
    <row r="561">
      <c r="B561" s="59"/>
      <c r="C561" s="60"/>
      <c r="D561" s="60"/>
    </row>
    <row r="562">
      <c r="B562" s="59"/>
      <c r="C562" s="60"/>
      <c r="D562" s="60"/>
    </row>
    <row r="563">
      <c r="B563" s="59"/>
      <c r="C563" s="60"/>
      <c r="D563" s="60"/>
    </row>
    <row r="564">
      <c r="B564" s="59"/>
      <c r="C564" s="60"/>
      <c r="D564" s="60"/>
    </row>
    <row r="565">
      <c r="B565" s="59"/>
      <c r="C565" s="60"/>
      <c r="D565" s="60"/>
    </row>
    <row r="566">
      <c r="B566" s="59"/>
      <c r="C566" s="60"/>
      <c r="D566" s="60"/>
    </row>
    <row r="567">
      <c r="B567" s="59"/>
      <c r="C567" s="60"/>
      <c r="D567" s="60"/>
    </row>
    <row r="568">
      <c r="B568" s="59"/>
      <c r="C568" s="60"/>
      <c r="D568" s="60"/>
    </row>
    <row r="569">
      <c r="B569" s="59"/>
      <c r="C569" s="60"/>
      <c r="D569" s="60"/>
    </row>
    <row r="570">
      <c r="B570" s="59"/>
      <c r="C570" s="60"/>
      <c r="D570" s="60"/>
    </row>
    <row r="571">
      <c r="B571" s="59"/>
      <c r="C571" s="60"/>
      <c r="D571" s="60"/>
    </row>
    <row r="572">
      <c r="B572" s="59"/>
      <c r="C572" s="60"/>
      <c r="D572" s="60"/>
    </row>
    <row r="573">
      <c r="B573" s="59"/>
      <c r="C573" s="60"/>
      <c r="D573" s="60"/>
    </row>
    <row r="574">
      <c r="B574" s="59"/>
      <c r="C574" s="60"/>
      <c r="D574" s="60"/>
    </row>
    <row r="575">
      <c r="B575" s="59"/>
      <c r="C575" s="60"/>
      <c r="D575" s="60"/>
    </row>
    <row r="576">
      <c r="B576" s="59"/>
      <c r="C576" s="60"/>
      <c r="D576" s="60"/>
    </row>
    <row r="577">
      <c r="B577" s="59"/>
      <c r="C577" s="60"/>
      <c r="D577" s="60"/>
    </row>
    <row r="578">
      <c r="B578" s="59"/>
      <c r="C578" s="60"/>
      <c r="D578" s="60"/>
    </row>
    <row r="579">
      <c r="B579" s="59"/>
      <c r="C579" s="60"/>
      <c r="D579" s="60"/>
    </row>
    <row r="580">
      <c r="B580" s="59"/>
      <c r="C580" s="60"/>
      <c r="D580" s="60"/>
    </row>
    <row r="581">
      <c r="B581" s="59"/>
      <c r="C581" s="60"/>
      <c r="D581" s="60"/>
    </row>
    <row r="582">
      <c r="B582" s="59"/>
      <c r="C582" s="60"/>
      <c r="D582" s="60"/>
    </row>
    <row r="583">
      <c r="B583" s="59"/>
      <c r="C583" s="60"/>
      <c r="D583" s="60"/>
    </row>
    <row r="584">
      <c r="B584" s="59"/>
      <c r="C584" s="60"/>
      <c r="D584" s="60"/>
    </row>
    <row r="585">
      <c r="B585" s="59"/>
      <c r="C585" s="60"/>
      <c r="D585" s="60"/>
    </row>
    <row r="586">
      <c r="B586" s="59"/>
      <c r="C586" s="60"/>
      <c r="D586" s="60"/>
    </row>
    <row r="587">
      <c r="B587" s="59"/>
      <c r="C587" s="60"/>
      <c r="D587" s="60"/>
    </row>
    <row r="588">
      <c r="B588" s="59"/>
      <c r="C588" s="60"/>
      <c r="D588" s="60"/>
    </row>
    <row r="589">
      <c r="B589" s="59"/>
      <c r="C589" s="60"/>
      <c r="D589" s="60"/>
    </row>
    <row r="590">
      <c r="B590" s="59"/>
      <c r="C590" s="60"/>
      <c r="D590" s="60"/>
    </row>
    <row r="591">
      <c r="B591" s="59"/>
      <c r="C591" s="60"/>
      <c r="D591" s="60"/>
    </row>
    <row r="592">
      <c r="B592" s="59"/>
      <c r="C592" s="60"/>
      <c r="D592" s="60"/>
    </row>
    <row r="593">
      <c r="B593" s="59"/>
      <c r="C593" s="60"/>
      <c r="D593" s="60"/>
    </row>
    <row r="594">
      <c r="B594" s="59"/>
      <c r="C594" s="60"/>
      <c r="D594" s="60"/>
    </row>
    <row r="595">
      <c r="B595" s="59"/>
      <c r="C595" s="60"/>
      <c r="D595" s="60"/>
    </row>
    <row r="596">
      <c r="B596" s="59"/>
      <c r="C596" s="60"/>
      <c r="D596" s="60"/>
    </row>
    <row r="597">
      <c r="B597" s="59"/>
      <c r="C597" s="60"/>
      <c r="D597" s="60"/>
    </row>
    <row r="598">
      <c r="B598" s="59"/>
      <c r="C598" s="60"/>
      <c r="D598" s="60"/>
    </row>
    <row r="599">
      <c r="B599" s="59"/>
      <c r="C599" s="60"/>
      <c r="D599" s="60"/>
    </row>
    <row r="600">
      <c r="B600" s="59"/>
      <c r="C600" s="60"/>
      <c r="D600" s="60"/>
    </row>
    <row r="601">
      <c r="B601" s="59"/>
      <c r="C601" s="60"/>
      <c r="D601" s="60"/>
    </row>
    <row r="602">
      <c r="B602" s="59"/>
      <c r="C602" s="60"/>
      <c r="D602" s="60"/>
    </row>
    <row r="603">
      <c r="B603" s="59"/>
      <c r="C603" s="60"/>
      <c r="D603" s="60"/>
    </row>
    <row r="604">
      <c r="B604" s="59"/>
      <c r="C604" s="60"/>
      <c r="D604" s="60"/>
    </row>
    <row r="605">
      <c r="B605" s="59"/>
      <c r="C605" s="60"/>
      <c r="D605" s="60"/>
    </row>
    <row r="606">
      <c r="B606" s="59"/>
      <c r="C606" s="60"/>
      <c r="D606" s="60"/>
    </row>
    <row r="607">
      <c r="B607" s="59"/>
      <c r="C607" s="60"/>
      <c r="D607" s="60"/>
    </row>
    <row r="608">
      <c r="B608" s="59"/>
      <c r="C608" s="60"/>
      <c r="D608" s="60"/>
    </row>
    <row r="609">
      <c r="B609" s="59"/>
      <c r="C609" s="60"/>
      <c r="D609" s="60"/>
    </row>
    <row r="610">
      <c r="B610" s="59"/>
      <c r="C610" s="60"/>
      <c r="D610" s="60"/>
    </row>
    <row r="611">
      <c r="B611" s="59"/>
      <c r="C611" s="60"/>
      <c r="D611" s="60"/>
    </row>
    <row r="612">
      <c r="B612" s="59"/>
      <c r="C612" s="60"/>
      <c r="D612" s="60"/>
    </row>
    <row r="613">
      <c r="B613" s="59"/>
      <c r="C613" s="60"/>
      <c r="D613" s="60"/>
    </row>
    <row r="614">
      <c r="B614" s="59"/>
      <c r="C614" s="60"/>
      <c r="D614" s="60"/>
    </row>
    <row r="615">
      <c r="B615" s="59"/>
      <c r="C615" s="60"/>
      <c r="D615" s="60"/>
    </row>
    <row r="616">
      <c r="B616" s="59"/>
      <c r="C616" s="60"/>
      <c r="D616" s="60"/>
    </row>
    <row r="617">
      <c r="B617" s="59"/>
      <c r="C617" s="60"/>
      <c r="D617" s="60"/>
    </row>
    <row r="618">
      <c r="B618" s="59"/>
      <c r="C618" s="60"/>
      <c r="D618" s="60"/>
    </row>
    <row r="619">
      <c r="B619" s="59"/>
      <c r="C619" s="60"/>
      <c r="D619" s="60"/>
    </row>
    <row r="620">
      <c r="B620" s="59"/>
      <c r="C620" s="60"/>
      <c r="D620" s="60"/>
    </row>
    <row r="621">
      <c r="B621" s="59"/>
      <c r="C621" s="60"/>
      <c r="D621" s="60"/>
    </row>
    <row r="622">
      <c r="B622" s="59"/>
      <c r="C622" s="60"/>
      <c r="D622" s="60"/>
    </row>
    <row r="623">
      <c r="B623" s="59"/>
      <c r="C623" s="60"/>
      <c r="D623" s="60"/>
    </row>
    <row r="624">
      <c r="B624" s="59"/>
      <c r="C624" s="60"/>
      <c r="D624" s="60"/>
    </row>
    <row r="625">
      <c r="B625" s="59"/>
      <c r="C625" s="60"/>
      <c r="D625" s="60"/>
    </row>
    <row r="626">
      <c r="B626" s="59"/>
      <c r="C626" s="60"/>
      <c r="D626" s="60"/>
    </row>
    <row r="627">
      <c r="B627" s="59"/>
      <c r="C627" s="60"/>
      <c r="D627" s="60"/>
    </row>
    <row r="628">
      <c r="B628" s="59"/>
      <c r="C628" s="60"/>
      <c r="D628" s="60"/>
    </row>
    <row r="629">
      <c r="B629" s="59"/>
      <c r="C629" s="60"/>
      <c r="D629" s="60"/>
    </row>
    <row r="630">
      <c r="B630" s="59"/>
      <c r="C630" s="60"/>
      <c r="D630" s="60"/>
    </row>
    <row r="631">
      <c r="B631" s="59"/>
      <c r="C631" s="60"/>
      <c r="D631" s="60"/>
    </row>
    <row r="632">
      <c r="B632" s="59"/>
      <c r="C632" s="60"/>
      <c r="D632" s="60"/>
    </row>
    <row r="633">
      <c r="B633" s="59"/>
      <c r="C633" s="60"/>
      <c r="D633" s="60"/>
    </row>
    <row r="634">
      <c r="B634" s="59"/>
      <c r="C634" s="60"/>
      <c r="D634" s="60"/>
    </row>
    <row r="635">
      <c r="B635" s="59"/>
      <c r="C635" s="60"/>
      <c r="D635" s="60"/>
    </row>
    <row r="636">
      <c r="B636" s="59"/>
      <c r="C636" s="60"/>
      <c r="D636" s="60"/>
    </row>
    <row r="637">
      <c r="B637" s="59"/>
      <c r="C637" s="60"/>
      <c r="D637" s="60"/>
    </row>
    <row r="638">
      <c r="B638" s="59"/>
      <c r="C638" s="60"/>
      <c r="D638" s="60"/>
    </row>
    <row r="639">
      <c r="B639" s="59"/>
      <c r="C639" s="60"/>
      <c r="D639" s="60"/>
    </row>
    <row r="640">
      <c r="B640" s="59"/>
      <c r="C640" s="60"/>
      <c r="D640" s="60"/>
    </row>
    <row r="641">
      <c r="B641" s="59"/>
      <c r="C641" s="60"/>
      <c r="D641" s="60"/>
    </row>
    <row r="642">
      <c r="B642" s="59"/>
      <c r="C642" s="60"/>
      <c r="D642" s="60"/>
    </row>
    <row r="643">
      <c r="B643" s="59"/>
      <c r="C643" s="60"/>
      <c r="D643" s="60"/>
    </row>
    <row r="644">
      <c r="B644" s="59"/>
      <c r="C644" s="60"/>
      <c r="D644" s="60"/>
    </row>
    <row r="645">
      <c r="B645" s="59"/>
      <c r="C645" s="60"/>
      <c r="D645" s="60"/>
    </row>
    <row r="646">
      <c r="B646" s="59"/>
      <c r="C646" s="60"/>
      <c r="D646" s="60"/>
    </row>
    <row r="647">
      <c r="B647" s="59"/>
      <c r="C647" s="60"/>
      <c r="D647" s="60"/>
    </row>
    <row r="648">
      <c r="B648" s="59"/>
      <c r="C648" s="60"/>
      <c r="D648" s="60"/>
    </row>
    <row r="649">
      <c r="B649" s="59"/>
      <c r="C649" s="60"/>
      <c r="D649" s="60"/>
    </row>
    <row r="650">
      <c r="B650" s="59"/>
      <c r="C650" s="60"/>
      <c r="D650" s="60"/>
    </row>
    <row r="651">
      <c r="B651" s="59"/>
      <c r="C651" s="60"/>
      <c r="D651" s="60"/>
    </row>
    <row r="652">
      <c r="B652" s="59"/>
      <c r="C652" s="60"/>
      <c r="D652" s="60"/>
    </row>
    <row r="653">
      <c r="B653" s="59"/>
      <c r="C653" s="60"/>
      <c r="D653" s="60"/>
    </row>
    <row r="654">
      <c r="B654" s="59"/>
      <c r="C654" s="60"/>
      <c r="D654" s="60"/>
    </row>
    <row r="655">
      <c r="B655" s="59"/>
      <c r="C655" s="60"/>
      <c r="D655" s="60"/>
    </row>
    <row r="656">
      <c r="B656" s="59"/>
      <c r="C656" s="60"/>
      <c r="D656" s="60"/>
    </row>
    <row r="657">
      <c r="B657" s="59"/>
      <c r="C657" s="60"/>
      <c r="D657" s="60"/>
    </row>
    <row r="658">
      <c r="B658" s="59"/>
      <c r="C658" s="60"/>
      <c r="D658" s="60"/>
    </row>
    <row r="659">
      <c r="B659" s="59"/>
      <c r="C659" s="60"/>
      <c r="D659" s="60"/>
    </row>
    <row r="660">
      <c r="B660" s="59"/>
      <c r="C660" s="60"/>
      <c r="D660" s="60"/>
    </row>
    <row r="661">
      <c r="B661" s="59"/>
      <c r="C661" s="60"/>
      <c r="D661" s="60"/>
    </row>
    <row r="662">
      <c r="B662" s="59"/>
      <c r="C662" s="60"/>
      <c r="D662" s="60"/>
    </row>
    <row r="663">
      <c r="B663" s="59"/>
      <c r="C663" s="60"/>
      <c r="D663" s="60"/>
    </row>
    <row r="664">
      <c r="B664" s="59"/>
      <c r="C664" s="60"/>
      <c r="D664" s="60"/>
    </row>
    <row r="665">
      <c r="B665" s="59"/>
      <c r="C665" s="60"/>
      <c r="D665" s="60"/>
    </row>
    <row r="666">
      <c r="B666" s="59"/>
      <c r="C666" s="60"/>
      <c r="D666" s="60"/>
    </row>
    <row r="667">
      <c r="B667" s="59"/>
      <c r="C667" s="60"/>
      <c r="D667" s="60"/>
    </row>
    <row r="668">
      <c r="B668" s="59"/>
      <c r="C668" s="60"/>
      <c r="D668" s="60"/>
    </row>
    <row r="669">
      <c r="B669" s="59"/>
      <c r="C669" s="60"/>
      <c r="D669" s="60"/>
    </row>
    <row r="670">
      <c r="B670" s="59"/>
      <c r="C670" s="60"/>
      <c r="D670" s="60"/>
    </row>
    <row r="671">
      <c r="B671" s="59"/>
      <c r="C671" s="60"/>
      <c r="D671" s="60"/>
    </row>
    <row r="672">
      <c r="B672" s="59"/>
      <c r="C672" s="60"/>
      <c r="D672" s="60"/>
    </row>
    <row r="673">
      <c r="B673" s="59"/>
      <c r="C673" s="60"/>
      <c r="D673" s="60"/>
    </row>
    <row r="674">
      <c r="B674" s="59"/>
      <c r="C674" s="60"/>
      <c r="D674" s="60"/>
    </row>
    <row r="675">
      <c r="B675" s="59"/>
      <c r="C675" s="60"/>
      <c r="D675" s="60"/>
    </row>
    <row r="676">
      <c r="B676" s="59"/>
      <c r="C676" s="60"/>
      <c r="D676" s="60"/>
    </row>
    <row r="677">
      <c r="B677" s="59"/>
      <c r="C677" s="60"/>
      <c r="D677" s="60"/>
    </row>
    <row r="678">
      <c r="B678" s="59"/>
      <c r="C678" s="60"/>
      <c r="D678" s="60"/>
    </row>
    <row r="679">
      <c r="B679" s="59"/>
      <c r="C679" s="60"/>
      <c r="D679" s="60"/>
    </row>
    <row r="680">
      <c r="B680" s="59"/>
      <c r="C680" s="60"/>
      <c r="D680" s="60"/>
    </row>
    <row r="681">
      <c r="B681" s="59"/>
      <c r="C681" s="60"/>
      <c r="D681" s="60"/>
    </row>
    <row r="682">
      <c r="B682" s="59"/>
      <c r="C682" s="60"/>
      <c r="D682" s="60"/>
    </row>
    <row r="683">
      <c r="B683" s="59"/>
      <c r="C683" s="60"/>
      <c r="D683" s="60"/>
    </row>
    <row r="684">
      <c r="B684" s="59"/>
      <c r="C684" s="60"/>
      <c r="D684" s="60"/>
    </row>
    <row r="685">
      <c r="B685" s="59"/>
      <c r="C685" s="60"/>
      <c r="D685" s="60"/>
    </row>
    <row r="686">
      <c r="B686" s="59"/>
      <c r="C686" s="60"/>
      <c r="D686" s="60"/>
    </row>
    <row r="687">
      <c r="B687" s="59"/>
      <c r="C687" s="60"/>
      <c r="D687" s="60"/>
    </row>
    <row r="688">
      <c r="B688" s="59"/>
      <c r="C688" s="60"/>
      <c r="D688" s="60"/>
    </row>
    <row r="689">
      <c r="B689" s="59"/>
      <c r="C689" s="60"/>
      <c r="D689" s="60"/>
    </row>
    <row r="690">
      <c r="B690" s="59"/>
      <c r="C690" s="60"/>
      <c r="D690" s="60"/>
    </row>
    <row r="691">
      <c r="B691" s="59"/>
      <c r="C691" s="60"/>
      <c r="D691" s="60"/>
    </row>
    <row r="692">
      <c r="B692" s="59"/>
      <c r="C692" s="60"/>
      <c r="D692" s="60"/>
    </row>
    <row r="693">
      <c r="B693" s="59"/>
      <c r="C693" s="60"/>
      <c r="D693" s="60"/>
    </row>
    <row r="694">
      <c r="B694" s="59"/>
      <c r="C694" s="60"/>
      <c r="D694" s="60"/>
    </row>
    <row r="695">
      <c r="B695" s="59"/>
      <c r="C695" s="60"/>
      <c r="D695" s="60"/>
    </row>
    <row r="696">
      <c r="B696" s="59"/>
      <c r="C696" s="60"/>
      <c r="D696" s="60"/>
    </row>
    <row r="697">
      <c r="B697" s="59"/>
      <c r="C697" s="60"/>
      <c r="D697" s="60"/>
    </row>
    <row r="698">
      <c r="B698" s="59"/>
      <c r="C698" s="60"/>
      <c r="D698" s="60"/>
    </row>
    <row r="699">
      <c r="B699" s="59"/>
      <c r="C699" s="60"/>
      <c r="D699" s="60"/>
    </row>
    <row r="700">
      <c r="B700" s="59"/>
      <c r="C700" s="60"/>
      <c r="D700" s="60"/>
    </row>
    <row r="701">
      <c r="B701" s="59"/>
      <c r="C701" s="60"/>
      <c r="D701" s="60"/>
    </row>
    <row r="702">
      <c r="B702" s="59"/>
      <c r="C702" s="60"/>
      <c r="D702" s="60"/>
    </row>
    <row r="703">
      <c r="B703" s="59"/>
      <c r="C703" s="60"/>
      <c r="D703" s="60"/>
    </row>
    <row r="704">
      <c r="B704" s="59"/>
      <c r="C704" s="60"/>
      <c r="D704" s="60"/>
    </row>
    <row r="705">
      <c r="B705" s="59"/>
      <c r="C705" s="60"/>
      <c r="D705" s="60"/>
    </row>
    <row r="706">
      <c r="B706" s="59"/>
      <c r="C706" s="60"/>
      <c r="D706" s="60"/>
    </row>
    <row r="707">
      <c r="B707" s="59"/>
      <c r="C707" s="60"/>
      <c r="D707" s="60"/>
    </row>
    <row r="708">
      <c r="B708" s="59"/>
      <c r="C708" s="60"/>
      <c r="D708" s="60"/>
    </row>
    <row r="709">
      <c r="B709" s="59"/>
      <c r="C709" s="60"/>
      <c r="D709" s="60"/>
    </row>
    <row r="710">
      <c r="B710" s="59"/>
      <c r="C710" s="60"/>
      <c r="D710" s="60"/>
    </row>
    <row r="711">
      <c r="B711" s="59"/>
      <c r="C711" s="60"/>
      <c r="D711" s="60"/>
    </row>
    <row r="712">
      <c r="B712" s="59"/>
      <c r="C712" s="60"/>
      <c r="D712" s="60"/>
    </row>
    <row r="713">
      <c r="B713" s="59"/>
      <c r="C713" s="60"/>
      <c r="D713" s="60"/>
    </row>
    <row r="714">
      <c r="B714" s="59"/>
      <c r="C714" s="60"/>
      <c r="D714" s="60"/>
    </row>
    <row r="715">
      <c r="B715" s="59"/>
      <c r="C715" s="60"/>
      <c r="D715" s="60"/>
    </row>
    <row r="716">
      <c r="B716" s="59"/>
      <c r="C716" s="60"/>
      <c r="D716" s="60"/>
    </row>
    <row r="717">
      <c r="B717" s="59"/>
      <c r="C717" s="60"/>
      <c r="D717" s="60"/>
    </row>
    <row r="718">
      <c r="B718" s="59"/>
      <c r="C718" s="60"/>
      <c r="D718" s="60"/>
    </row>
    <row r="719">
      <c r="B719" s="59"/>
      <c r="C719" s="60"/>
      <c r="D719" s="60"/>
    </row>
    <row r="720">
      <c r="B720" s="59"/>
      <c r="C720" s="60"/>
      <c r="D720" s="60"/>
    </row>
    <row r="721">
      <c r="B721" s="59"/>
      <c r="C721" s="60"/>
      <c r="D721" s="60"/>
    </row>
    <row r="722">
      <c r="B722" s="59"/>
      <c r="C722" s="60"/>
      <c r="D722" s="60"/>
    </row>
    <row r="723">
      <c r="B723" s="59"/>
      <c r="C723" s="60"/>
      <c r="D723" s="60"/>
    </row>
    <row r="724">
      <c r="B724" s="59"/>
      <c r="C724" s="60"/>
      <c r="D724" s="60"/>
    </row>
    <row r="725">
      <c r="B725" s="59"/>
      <c r="C725" s="60"/>
      <c r="D725" s="60"/>
    </row>
    <row r="726">
      <c r="B726" s="59"/>
      <c r="C726" s="60"/>
      <c r="D726" s="60"/>
    </row>
    <row r="727">
      <c r="B727" s="59"/>
      <c r="C727" s="60"/>
      <c r="D727" s="60"/>
    </row>
    <row r="728">
      <c r="B728" s="59"/>
      <c r="C728" s="60"/>
      <c r="D728" s="60"/>
    </row>
    <row r="729">
      <c r="B729" s="59"/>
      <c r="C729" s="60"/>
      <c r="D729" s="60"/>
    </row>
    <row r="730">
      <c r="B730" s="59"/>
      <c r="C730" s="60"/>
      <c r="D730" s="60"/>
    </row>
    <row r="731">
      <c r="B731" s="59"/>
      <c r="C731" s="60"/>
      <c r="D731" s="60"/>
    </row>
    <row r="732">
      <c r="B732" s="59"/>
      <c r="C732" s="60"/>
      <c r="D732" s="60"/>
    </row>
    <row r="733">
      <c r="B733" s="59"/>
      <c r="C733" s="60"/>
      <c r="D733" s="60"/>
    </row>
    <row r="734">
      <c r="B734" s="59"/>
      <c r="C734" s="60"/>
      <c r="D734" s="60"/>
    </row>
    <row r="735">
      <c r="B735" s="59"/>
      <c r="C735" s="60"/>
      <c r="D735" s="60"/>
    </row>
    <row r="736">
      <c r="B736" s="59"/>
      <c r="C736" s="60"/>
      <c r="D736" s="60"/>
    </row>
    <row r="737">
      <c r="B737" s="59"/>
      <c r="C737" s="60"/>
      <c r="D737" s="60"/>
    </row>
    <row r="738">
      <c r="B738" s="59"/>
      <c r="C738" s="60"/>
      <c r="D738" s="60"/>
    </row>
    <row r="739">
      <c r="B739" s="59"/>
      <c r="C739" s="60"/>
      <c r="D739" s="60"/>
    </row>
    <row r="740">
      <c r="B740" s="59"/>
      <c r="C740" s="60"/>
      <c r="D740" s="60"/>
    </row>
    <row r="741">
      <c r="B741" s="59"/>
      <c r="C741" s="60"/>
      <c r="D741" s="60"/>
    </row>
    <row r="742">
      <c r="B742" s="59"/>
      <c r="C742" s="60"/>
      <c r="D742" s="60"/>
    </row>
    <row r="743">
      <c r="B743" s="59"/>
      <c r="C743" s="60"/>
      <c r="D743" s="60"/>
    </row>
    <row r="744">
      <c r="B744" s="59"/>
      <c r="C744" s="60"/>
      <c r="D744" s="60"/>
    </row>
    <row r="745">
      <c r="B745" s="59"/>
      <c r="C745" s="60"/>
      <c r="D745" s="60"/>
    </row>
    <row r="746">
      <c r="B746" s="59"/>
      <c r="C746" s="60"/>
      <c r="D746" s="60"/>
    </row>
    <row r="747">
      <c r="B747" s="59"/>
      <c r="C747" s="60"/>
      <c r="D747" s="60"/>
    </row>
    <row r="748">
      <c r="B748" s="59"/>
      <c r="C748" s="60"/>
      <c r="D748" s="60"/>
    </row>
    <row r="749">
      <c r="B749" s="59"/>
      <c r="C749" s="60"/>
      <c r="D749" s="60"/>
    </row>
    <row r="750">
      <c r="B750" s="59"/>
      <c r="C750" s="60"/>
      <c r="D750" s="60"/>
    </row>
    <row r="751">
      <c r="B751" s="59"/>
      <c r="C751" s="60"/>
      <c r="D751" s="60"/>
    </row>
    <row r="752">
      <c r="B752" s="59"/>
      <c r="C752" s="60"/>
      <c r="D752" s="60"/>
    </row>
    <row r="753">
      <c r="B753" s="59"/>
      <c r="C753" s="60"/>
      <c r="D753" s="60"/>
    </row>
    <row r="754">
      <c r="B754" s="59"/>
      <c r="C754" s="60"/>
      <c r="D754" s="60"/>
    </row>
    <row r="755">
      <c r="B755" s="59"/>
      <c r="C755" s="60"/>
      <c r="D755" s="60"/>
    </row>
    <row r="756">
      <c r="B756" s="59"/>
      <c r="C756" s="60"/>
      <c r="D756" s="60"/>
    </row>
    <row r="757">
      <c r="B757" s="59"/>
      <c r="C757" s="60"/>
      <c r="D757" s="60"/>
    </row>
    <row r="758">
      <c r="B758" s="59"/>
      <c r="C758" s="60"/>
      <c r="D758" s="60"/>
    </row>
    <row r="759">
      <c r="B759" s="59"/>
      <c r="C759" s="60"/>
      <c r="D759" s="60"/>
    </row>
    <row r="760">
      <c r="B760" s="59"/>
      <c r="C760" s="60"/>
      <c r="D760" s="60"/>
    </row>
    <row r="761">
      <c r="B761" s="59"/>
      <c r="C761" s="60"/>
      <c r="D761" s="60"/>
    </row>
    <row r="762">
      <c r="B762" s="59"/>
      <c r="C762" s="60"/>
      <c r="D762" s="60"/>
    </row>
    <row r="763">
      <c r="B763" s="59"/>
      <c r="C763" s="60"/>
      <c r="D763" s="60"/>
    </row>
    <row r="764">
      <c r="B764" s="59"/>
      <c r="C764" s="60"/>
      <c r="D764" s="60"/>
    </row>
    <row r="765">
      <c r="B765" s="59"/>
      <c r="C765" s="60"/>
      <c r="D765" s="60"/>
    </row>
    <row r="766">
      <c r="B766" s="59"/>
      <c r="C766" s="60"/>
      <c r="D766" s="60"/>
    </row>
    <row r="767">
      <c r="B767" s="59"/>
      <c r="C767" s="60"/>
      <c r="D767" s="60"/>
    </row>
    <row r="768">
      <c r="B768" s="59"/>
      <c r="C768" s="60"/>
      <c r="D768" s="60"/>
    </row>
    <row r="769">
      <c r="B769" s="59"/>
      <c r="C769" s="60"/>
      <c r="D769" s="60"/>
    </row>
    <row r="770">
      <c r="B770" s="59"/>
      <c r="C770" s="60"/>
      <c r="D770" s="60"/>
    </row>
    <row r="771">
      <c r="B771" s="59"/>
      <c r="C771" s="60"/>
      <c r="D771" s="60"/>
    </row>
    <row r="772">
      <c r="B772" s="59"/>
      <c r="C772" s="60"/>
      <c r="D772" s="60"/>
    </row>
    <row r="773">
      <c r="B773" s="59"/>
      <c r="C773" s="60"/>
      <c r="D773" s="60"/>
    </row>
    <row r="774">
      <c r="B774" s="59"/>
      <c r="C774" s="60"/>
      <c r="D774" s="60"/>
    </row>
    <row r="775">
      <c r="B775" s="59"/>
      <c r="C775" s="60"/>
      <c r="D775" s="60"/>
    </row>
    <row r="776">
      <c r="B776" s="59"/>
      <c r="C776" s="60"/>
      <c r="D776" s="60"/>
    </row>
    <row r="777">
      <c r="B777" s="59"/>
      <c r="C777" s="60"/>
      <c r="D777" s="60"/>
    </row>
    <row r="778">
      <c r="B778" s="59"/>
      <c r="C778" s="60"/>
      <c r="D778" s="60"/>
    </row>
    <row r="779">
      <c r="B779" s="59"/>
      <c r="C779" s="60"/>
      <c r="D779" s="60"/>
    </row>
    <row r="780">
      <c r="B780" s="59"/>
      <c r="C780" s="60"/>
      <c r="D780" s="60"/>
    </row>
    <row r="781">
      <c r="B781" s="59"/>
      <c r="C781" s="60"/>
      <c r="D781" s="60"/>
    </row>
    <row r="782">
      <c r="B782" s="59"/>
      <c r="C782" s="60"/>
      <c r="D782" s="60"/>
    </row>
    <row r="783">
      <c r="B783" s="59"/>
      <c r="C783" s="60"/>
      <c r="D783" s="60"/>
    </row>
    <row r="784">
      <c r="B784" s="59"/>
      <c r="C784" s="60"/>
      <c r="D784" s="60"/>
    </row>
    <row r="785">
      <c r="B785" s="59"/>
      <c r="C785" s="60"/>
      <c r="D785" s="60"/>
    </row>
    <row r="786">
      <c r="B786" s="59"/>
      <c r="C786" s="60"/>
      <c r="D786" s="60"/>
    </row>
    <row r="787">
      <c r="B787" s="59"/>
      <c r="C787" s="60"/>
      <c r="D787" s="60"/>
    </row>
    <row r="788">
      <c r="B788" s="59"/>
      <c r="C788" s="60"/>
      <c r="D788" s="60"/>
    </row>
    <row r="789">
      <c r="B789" s="59"/>
      <c r="C789" s="60"/>
      <c r="D789" s="60"/>
    </row>
    <row r="790">
      <c r="B790" s="59"/>
      <c r="C790" s="60"/>
      <c r="D790" s="60"/>
    </row>
    <row r="791">
      <c r="B791" s="59"/>
      <c r="C791" s="60"/>
      <c r="D791" s="60"/>
    </row>
    <row r="792">
      <c r="B792" s="59"/>
      <c r="C792" s="60"/>
      <c r="D792" s="60"/>
    </row>
    <row r="793">
      <c r="B793" s="59"/>
      <c r="C793" s="60"/>
      <c r="D793" s="60"/>
    </row>
    <row r="794">
      <c r="B794" s="59"/>
      <c r="C794" s="60"/>
      <c r="D794" s="60"/>
    </row>
    <row r="795">
      <c r="B795" s="59"/>
      <c r="C795" s="60"/>
      <c r="D795" s="60"/>
    </row>
    <row r="796">
      <c r="B796" s="59"/>
      <c r="C796" s="60"/>
      <c r="D796" s="60"/>
    </row>
    <row r="797">
      <c r="B797" s="59"/>
      <c r="C797" s="60"/>
      <c r="D797" s="60"/>
    </row>
    <row r="798">
      <c r="B798" s="59"/>
      <c r="C798" s="60"/>
      <c r="D798" s="60"/>
    </row>
    <row r="799">
      <c r="B799" s="59"/>
      <c r="C799" s="60"/>
      <c r="D799" s="60"/>
    </row>
    <row r="800">
      <c r="B800" s="59"/>
      <c r="C800" s="60"/>
      <c r="D800" s="60"/>
    </row>
    <row r="801">
      <c r="B801" s="59"/>
      <c r="C801" s="60"/>
      <c r="D801" s="60"/>
    </row>
    <row r="802">
      <c r="B802" s="59"/>
      <c r="C802" s="60"/>
      <c r="D802" s="60"/>
    </row>
    <row r="803">
      <c r="B803" s="59"/>
      <c r="C803" s="60"/>
      <c r="D803" s="60"/>
    </row>
    <row r="804">
      <c r="B804" s="59"/>
      <c r="C804" s="60"/>
      <c r="D804" s="60"/>
    </row>
    <row r="805">
      <c r="B805" s="59"/>
      <c r="C805" s="60"/>
      <c r="D805" s="60"/>
    </row>
    <row r="806">
      <c r="B806" s="59"/>
      <c r="C806" s="60"/>
      <c r="D806" s="60"/>
    </row>
    <row r="807">
      <c r="B807" s="59"/>
      <c r="C807" s="60"/>
      <c r="D807" s="60"/>
    </row>
    <row r="808">
      <c r="B808" s="59"/>
      <c r="C808" s="60"/>
      <c r="D808" s="60"/>
    </row>
    <row r="809">
      <c r="B809" s="59"/>
      <c r="C809" s="60"/>
      <c r="D809" s="60"/>
    </row>
    <row r="810">
      <c r="B810" s="59"/>
      <c r="C810" s="60"/>
      <c r="D810" s="60"/>
    </row>
    <row r="811">
      <c r="B811" s="59"/>
      <c r="C811" s="60"/>
      <c r="D811" s="60"/>
    </row>
    <row r="812">
      <c r="B812" s="59"/>
      <c r="C812" s="60"/>
      <c r="D812" s="60"/>
    </row>
    <row r="813">
      <c r="B813" s="59"/>
      <c r="C813" s="60"/>
      <c r="D813" s="60"/>
    </row>
    <row r="814">
      <c r="B814" s="59"/>
      <c r="C814" s="60"/>
      <c r="D814" s="60"/>
    </row>
    <row r="815">
      <c r="B815" s="59"/>
      <c r="C815" s="60"/>
      <c r="D815" s="60"/>
    </row>
    <row r="816">
      <c r="B816" s="59"/>
      <c r="C816" s="60"/>
      <c r="D816" s="60"/>
    </row>
    <row r="817">
      <c r="B817" s="59"/>
      <c r="C817" s="60"/>
      <c r="D817" s="60"/>
    </row>
    <row r="818">
      <c r="B818" s="59"/>
      <c r="C818" s="60"/>
      <c r="D818" s="60"/>
    </row>
    <row r="819">
      <c r="B819" s="59"/>
      <c r="C819" s="60"/>
      <c r="D819" s="60"/>
    </row>
    <row r="820">
      <c r="B820" s="59"/>
      <c r="C820" s="60"/>
      <c r="D820" s="60"/>
    </row>
    <row r="821">
      <c r="B821" s="59"/>
      <c r="C821" s="60"/>
      <c r="D821" s="60"/>
    </row>
    <row r="822">
      <c r="B822" s="59"/>
      <c r="C822" s="60"/>
      <c r="D822" s="60"/>
    </row>
    <row r="823">
      <c r="B823" s="59"/>
      <c r="C823" s="60"/>
      <c r="D823" s="60"/>
    </row>
    <row r="824">
      <c r="B824" s="59"/>
      <c r="C824" s="60"/>
      <c r="D824" s="60"/>
    </row>
    <row r="825">
      <c r="B825" s="59"/>
      <c r="C825" s="60"/>
      <c r="D825" s="60"/>
    </row>
    <row r="826">
      <c r="B826" s="59"/>
      <c r="C826" s="60"/>
      <c r="D826" s="60"/>
    </row>
    <row r="827">
      <c r="B827" s="59"/>
      <c r="C827" s="60"/>
      <c r="D827" s="60"/>
    </row>
    <row r="828">
      <c r="B828" s="59"/>
      <c r="C828" s="60"/>
      <c r="D828" s="60"/>
    </row>
    <row r="829">
      <c r="B829" s="59"/>
      <c r="C829" s="60"/>
      <c r="D829" s="60"/>
    </row>
    <row r="830">
      <c r="B830" s="59"/>
      <c r="C830" s="60"/>
      <c r="D830" s="60"/>
    </row>
    <row r="831">
      <c r="B831" s="59"/>
      <c r="C831" s="60"/>
      <c r="D831" s="60"/>
    </row>
    <row r="832">
      <c r="B832" s="59"/>
      <c r="C832" s="60"/>
      <c r="D832" s="60"/>
    </row>
    <row r="833">
      <c r="B833" s="59"/>
      <c r="C833" s="60"/>
      <c r="D833" s="60"/>
    </row>
    <row r="834">
      <c r="B834" s="59"/>
      <c r="C834" s="60"/>
      <c r="D834" s="60"/>
    </row>
    <row r="835">
      <c r="B835" s="59"/>
      <c r="C835" s="60"/>
      <c r="D835" s="60"/>
    </row>
    <row r="836">
      <c r="B836" s="59"/>
      <c r="C836" s="60"/>
      <c r="D836" s="60"/>
    </row>
    <row r="837">
      <c r="B837" s="59"/>
      <c r="C837" s="60"/>
      <c r="D837" s="60"/>
    </row>
    <row r="838">
      <c r="B838" s="59"/>
      <c r="C838" s="60"/>
      <c r="D838" s="60"/>
    </row>
    <row r="839">
      <c r="B839" s="59"/>
      <c r="C839" s="60"/>
      <c r="D839" s="60"/>
    </row>
    <row r="840">
      <c r="B840" s="59"/>
      <c r="C840" s="60"/>
      <c r="D840" s="60"/>
    </row>
    <row r="841">
      <c r="B841" s="59"/>
      <c r="C841" s="60"/>
      <c r="D841" s="60"/>
    </row>
    <row r="842">
      <c r="B842" s="59"/>
      <c r="C842" s="60"/>
      <c r="D842" s="60"/>
    </row>
    <row r="843">
      <c r="B843" s="59"/>
      <c r="C843" s="60"/>
      <c r="D843" s="60"/>
    </row>
    <row r="844">
      <c r="B844" s="59"/>
      <c r="C844" s="60"/>
      <c r="D844" s="60"/>
    </row>
    <row r="845">
      <c r="B845" s="59"/>
      <c r="C845" s="60"/>
      <c r="D845" s="60"/>
    </row>
    <row r="846">
      <c r="B846" s="59"/>
      <c r="C846" s="60"/>
      <c r="D846" s="60"/>
    </row>
    <row r="847">
      <c r="B847" s="59"/>
      <c r="C847" s="60"/>
      <c r="D847" s="60"/>
    </row>
    <row r="848">
      <c r="B848" s="59"/>
      <c r="C848" s="60"/>
      <c r="D848" s="60"/>
    </row>
    <row r="849">
      <c r="B849" s="59"/>
      <c r="C849" s="60"/>
      <c r="D849" s="60"/>
    </row>
    <row r="850">
      <c r="B850" s="59"/>
      <c r="C850" s="60"/>
      <c r="D850" s="60"/>
    </row>
    <row r="851">
      <c r="B851" s="59"/>
      <c r="C851" s="60"/>
      <c r="D851" s="60"/>
    </row>
    <row r="852">
      <c r="B852" s="59"/>
      <c r="C852" s="60"/>
      <c r="D852" s="60"/>
    </row>
    <row r="853">
      <c r="B853" s="59"/>
      <c r="C853" s="60"/>
      <c r="D853" s="60"/>
    </row>
    <row r="854">
      <c r="B854" s="59"/>
      <c r="C854" s="60"/>
      <c r="D854" s="60"/>
    </row>
    <row r="855">
      <c r="B855" s="59"/>
      <c r="C855" s="60"/>
      <c r="D855" s="60"/>
    </row>
    <row r="856">
      <c r="B856" s="59"/>
      <c r="C856" s="60"/>
      <c r="D856" s="60"/>
    </row>
    <row r="857">
      <c r="B857" s="59"/>
      <c r="C857" s="60"/>
      <c r="D857" s="60"/>
    </row>
    <row r="858">
      <c r="B858" s="59"/>
      <c r="C858" s="60"/>
      <c r="D858" s="60"/>
    </row>
    <row r="859">
      <c r="B859" s="59"/>
      <c r="C859" s="60"/>
      <c r="D859" s="60"/>
    </row>
    <row r="860">
      <c r="B860" s="59"/>
      <c r="C860" s="60"/>
      <c r="D860" s="60"/>
    </row>
    <row r="861">
      <c r="B861" s="59"/>
      <c r="C861" s="60"/>
      <c r="D861" s="60"/>
    </row>
    <row r="862">
      <c r="B862" s="59"/>
      <c r="C862" s="60"/>
      <c r="D862" s="60"/>
    </row>
    <row r="863">
      <c r="B863" s="59"/>
      <c r="C863" s="60"/>
      <c r="D863" s="60"/>
    </row>
    <row r="864">
      <c r="B864" s="59"/>
      <c r="C864" s="60"/>
      <c r="D864" s="60"/>
    </row>
    <row r="865">
      <c r="B865" s="59"/>
      <c r="C865" s="60"/>
      <c r="D865" s="60"/>
    </row>
    <row r="866">
      <c r="B866" s="59"/>
      <c r="C866" s="60"/>
      <c r="D866" s="60"/>
    </row>
    <row r="867">
      <c r="B867" s="59"/>
      <c r="C867" s="60"/>
      <c r="D867" s="60"/>
    </row>
    <row r="868">
      <c r="B868" s="59"/>
      <c r="C868" s="60"/>
      <c r="D868" s="60"/>
    </row>
    <row r="869">
      <c r="B869" s="59"/>
      <c r="C869" s="60"/>
      <c r="D869" s="60"/>
    </row>
    <row r="870">
      <c r="B870" s="59"/>
      <c r="C870" s="60"/>
      <c r="D870" s="60"/>
    </row>
    <row r="871">
      <c r="B871" s="59"/>
      <c r="C871" s="60"/>
      <c r="D871" s="60"/>
    </row>
    <row r="872">
      <c r="B872" s="59"/>
      <c r="C872" s="60"/>
      <c r="D872" s="60"/>
    </row>
    <row r="873">
      <c r="B873" s="59"/>
      <c r="C873" s="60"/>
      <c r="D873" s="60"/>
    </row>
    <row r="874">
      <c r="B874" s="59"/>
      <c r="C874" s="60"/>
      <c r="D874" s="60"/>
    </row>
    <row r="875">
      <c r="B875" s="59"/>
      <c r="C875" s="60"/>
      <c r="D875" s="60"/>
    </row>
    <row r="876">
      <c r="B876" s="59"/>
      <c r="C876" s="60"/>
      <c r="D876" s="60"/>
    </row>
    <row r="877">
      <c r="B877" s="59"/>
      <c r="C877" s="60"/>
      <c r="D877" s="60"/>
    </row>
    <row r="878">
      <c r="B878" s="59"/>
      <c r="C878" s="60"/>
      <c r="D878" s="60"/>
    </row>
    <row r="879">
      <c r="B879" s="59"/>
      <c r="C879" s="60"/>
      <c r="D879" s="60"/>
    </row>
    <row r="880">
      <c r="B880" s="59"/>
      <c r="C880" s="60"/>
      <c r="D880" s="60"/>
    </row>
    <row r="881">
      <c r="B881" s="59"/>
      <c r="C881" s="60"/>
      <c r="D881" s="60"/>
    </row>
    <row r="882">
      <c r="B882" s="59"/>
      <c r="C882" s="60"/>
      <c r="D882" s="60"/>
    </row>
    <row r="883">
      <c r="B883" s="59"/>
      <c r="C883" s="60"/>
      <c r="D883" s="60"/>
    </row>
    <row r="884">
      <c r="B884" s="59"/>
      <c r="C884" s="60"/>
      <c r="D884" s="60"/>
    </row>
    <row r="885">
      <c r="B885" s="59"/>
      <c r="C885" s="60"/>
      <c r="D885" s="60"/>
    </row>
    <row r="886">
      <c r="B886" s="59"/>
      <c r="C886" s="60"/>
      <c r="D886" s="60"/>
    </row>
    <row r="887">
      <c r="B887" s="59"/>
      <c r="C887" s="60"/>
      <c r="D887" s="60"/>
    </row>
    <row r="888">
      <c r="B888" s="59"/>
      <c r="C888" s="60"/>
      <c r="D888" s="60"/>
    </row>
    <row r="889">
      <c r="B889" s="59"/>
      <c r="C889" s="60"/>
      <c r="D889" s="60"/>
    </row>
    <row r="890">
      <c r="B890" s="59"/>
      <c r="C890" s="60"/>
      <c r="D890" s="60"/>
    </row>
    <row r="891">
      <c r="B891" s="59"/>
      <c r="C891" s="60"/>
      <c r="D891" s="60"/>
    </row>
    <row r="892">
      <c r="B892" s="59"/>
      <c r="C892" s="60"/>
      <c r="D892" s="60"/>
    </row>
    <row r="893">
      <c r="B893" s="59"/>
      <c r="C893" s="60"/>
      <c r="D893" s="60"/>
    </row>
    <row r="894">
      <c r="B894" s="59"/>
      <c r="C894" s="60"/>
      <c r="D894" s="60"/>
    </row>
    <row r="895">
      <c r="B895" s="59"/>
      <c r="C895" s="60"/>
      <c r="D895" s="60"/>
    </row>
    <row r="896">
      <c r="B896" s="59"/>
      <c r="C896" s="60"/>
      <c r="D896" s="60"/>
    </row>
    <row r="897">
      <c r="B897" s="59"/>
      <c r="C897" s="60"/>
      <c r="D897" s="60"/>
    </row>
    <row r="898">
      <c r="B898" s="59"/>
      <c r="C898" s="60"/>
      <c r="D898" s="60"/>
    </row>
    <row r="899">
      <c r="B899" s="59"/>
      <c r="C899" s="60"/>
      <c r="D899" s="60"/>
    </row>
    <row r="900">
      <c r="B900" s="59"/>
      <c r="C900" s="60"/>
      <c r="D900" s="60"/>
    </row>
    <row r="901">
      <c r="B901" s="59"/>
      <c r="C901" s="60"/>
      <c r="D901" s="60"/>
    </row>
    <row r="902">
      <c r="B902" s="59"/>
      <c r="C902" s="60"/>
      <c r="D902" s="60"/>
    </row>
    <row r="903">
      <c r="B903" s="59"/>
      <c r="C903" s="60"/>
      <c r="D903" s="60"/>
    </row>
    <row r="904">
      <c r="B904" s="59"/>
      <c r="C904" s="60"/>
      <c r="D904" s="60"/>
    </row>
    <row r="905">
      <c r="B905" s="59"/>
      <c r="C905" s="60"/>
      <c r="D905" s="60"/>
    </row>
    <row r="906">
      <c r="B906" s="59"/>
      <c r="C906" s="60"/>
      <c r="D906" s="60"/>
    </row>
    <row r="907">
      <c r="B907" s="59"/>
      <c r="C907" s="60"/>
      <c r="D907" s="60"/>
    </row>
    <row r="908">
      <c r="B908" s="59"/>
      <c r="C908" s="60"/>
      <c r="D908" s="60"/>
    </row>
    <row r="909">
      <c r="B909" s="59"/>
      <c r="C909" s="60"/>
      <c r="D909" s="60"/>
    </row>
    <row r="910">
      <c r="B910" s="59"/>
      <c r="C910" s="60"/>
      <c r="D910" s="60"/>
    </row>
    <row r="911">
      <c r="B911" s="59"/>
      <c r="C911" s="60"/>
      <c r="D911" s="60"/>
    </row>
    <row r="912">
      <c r="B912" s="59"/>
      <c r="C912" s="60"/>
      <c r="D912" s="60"/>
    </row>
    <row r="913">
      <c r="B913" s="59"/>
      <c r="C913" s="60"/>
      <c r="D913" s="60"/>
    </row>
    <row r="914">
      <c r="B914" s="59"/>
      <c r="C914" s="60"/>
      <c r="D914" s="60"/>
    </row>
    <row r="915">
      <c r="B915" s="59"/>
      <c r="C915" s="60"/>
      <c r="D915" s="60"/>
    </row>
    <row r="916">
      <c r="B916" s="59"/>
      <c r="C916" s="60"/>
      <c r="D916" s="60"/>
    </row>
    <row r="917">
      <c r="B917" s="59"/>
      <c r="C917" s="60"/>
      <c r="D917" s="60"/>
    </row>
    <row r="918">
      <c r="B918" s="59"/>
      <c r="C918" s="60"/>
      <c r="D918" s="60"/>
    </row>
    <row r="919">
      <c r="B919" s="59"/>
      <c r="C919" s="60"/>
      <c r="D919" s="60"/>
    </row>
    <row r="920">
      <c r="B920" s="59"/>
      <c r="C920" s="60"/>
      <c r="D920" s="60"/>
    </row>
    <row r="921">
      <c r="B921" s="59"/>
      <c r="C921" s="60"/>
      <c r="D921" s="60"/>
    </row>
    <row r="922">
      <c r="B922" s="59"/>
      <c r="C922" s="60"/>
      <c r="D922" s="60"/>
    </row>
    <row r="923">
      <c r="B923" s="59"/>
      <c r="C923" s="60"/>
      <c r="D923" s="60"/>
    </row>
    <row r="924">
      <c r="B924" s="59"/>
      <c r="C924" s="60"/>
      <c r="D924" s="60"/>
    </row>
    <row r="925">
      <c r="B925" s="59"/>
      <c r="C925" s="60"/>
      <c r="D925" s="60"/>
    </row>
    <row r="926">
      <c r="B926" s="59"/>
      <c r="C926" s="60"/>
      <c r="D926" s="60"/>
    </row>
    <row r="927">
      <c r="B927" s="59"/>
      <c r="C927" s="60"/>
      <c r="D927" s="60"/>
    </row>
    <row r="928">
      <c r="B928" s="59"/>
      <c r="C928" s="60"/>
      <c r="D928" s="60"/>
    </row>
    <row r="929">
      <c r="B929" s="59"/>
      <c r="C929" s="60"/>
      <c r="D929" s="60"/>
    </row>
    <row r="930">
      <c r="B930" s="59"/>
      <c r="C930" s="60"/>
      <c r="D930" s="60"/>
    </row>
    <row r="931">
      <c r="B931" s="59"/>
      <c r="C931" s="60"/>
      <c r="D931" s="60"/>
    </row>
    <row r="932">
      <c r="B932" s="59"/>
      <c r="C932" s="60"/>
      <c r="D932" s="60"/>
    </row>
    <row r="933">
      <c r="B933" s="59"/>
      <c r="C933" s="60"/>
      <c r="D933" s="60"/>
    </row>
    <row r="934">
      <c r="B934" s="59"/>
      <c r="C934" s="60"/>
      <c r="D934" s="60"/>
    </row>
    <row r="935">
      <c r="B935" s="59"/>
      <c r="C935" s="60"/>
      <c r="D935" s="60"/>
    </row>
    <row r="936">
      <c r="B936" s="59"/>
      <c r="C936" s="60"/>
      <c r="D936" s="60"/>
    </row>
    <row r="937">
      <c r="B937" s="59"/>
      <c r="C937" s="60"/>
      <c r="D937" s="60"/>
    </row>
    <row r="938">
      <c r="B938" s="59"/>
      <c r="C938" s="60"/>
      <c r="D938" s="60"/>
    </row>
    <row r="939">
      <c r="B939" s="59"/>
      <c r="C939" s="60"/>
      <c r="D939" s="60"/>
    </row>
    <row r="940">
      <c r="B940" s="59"/>
      <c r="C940" s="60"/>
      <c r="D940" s="60"/>
    </row>
    <row r="941">
      <c r="B941" s="59"/>
      <c r="C941" s="60"/>
      <c r="D941" s="60"/>
    </row>
    <row r="942">
      <c r="B942" s="59"/>
      <c r="C942" s="60"/>
      <c r="D942" s="60"/>
    </row>
    <row r="943">
      <c r="B943" s="59"/>
      <c r="C943" s="60"/>
      <c r="D943" s="60"/>
    </row>
    <row r="944">
      <c r="B944" s="59"/>
      <c r="C944" s="60"/>
      <c r="D944" s="60"/>
    </row>
    <row r="945">
      <c r="B945" s="59"/>
      <c r="C945" s="60"/>
      <c r="D945" s="60"/>
    </row>
    <row r="946">
      <c r="B946" s="59"/>
      <c r="C946" s="60"/>
      <c r="D946" s="60"/>
    </row>
    <row r="947">
      <c r="B947" s="59"/>
      <c r="C947" s="60"/>
      <c r="D947" s="60"/>
    </row>
    <row r="948">
      <c r="B948" s="59"/>
      <c r="C948" s="60"/>
      <c r="D948" s="60"/>
    </row>
    <row r="949">
      <c r="B949" s="59"/>
      <c r="C949" s="60"/>
      <c r="D949" s="60"/>
    </row>
    <row r="950">
      <c r="B950" s="59"/>
      <c r="C950" s="60"/>
      <c r="D950" s="60"/>
    </row>
    <row r="951">
      <c r="B951" s="59"/>
      <c r="C951" s="60"/>
      <c r="D951" s="60"/>
    </row>
    <row r="952">
      <c r="B952" s="59"/>
      <c r="C952" s="60"/>
      <c r="D952" s="60"/>
    </row>
    <row r="953">
      <c r="B953" s="59"/>
      <c r="C953" s="60"/>
      <c r="D953" s="60"/>
    </row>
    <row r="954">
      <c r="B954" s="59"/>
      <c r="C954" s="60"/>
      <c r="D954" s="60"/>
    </row>
    <row r="955">
      <c r="B955" s="59"/>
      <c r="C955" s="60"/>
      <c r="D955" s="60"/>
    </row>
    <row r="956">
      <c r="B956" s="59"/>
      <c r="C956" s="60"/>
      <c r="D956" s="60"/>
    </row>
    <row r="957">
      <c r="B957" s="59"/>
      <c r="C957" s="60"/>
      <c r="D957" s="60"/>
    </row>
    <row r="958">
      <c r="B958" s="59"/>
      <c r="C958" s="60"/>
      <c r="D958" s="60"/>
    </row>
    <row r="959">
      <c r="B959" s="59"/>
      <c r="C959" s="60"/>
      <c r="D959" s="60"/>
    </row>
    <row r="960">
      <c r="B960" s="59"/>
      <c r="C960" s="60"/>
      <c r="D960" s="60"/>
    </row>
    <row r="961">
      <c r="B961" s="59"/>
      <c r="C961" s="60"/>
      <c r="D961" s="60"/>
    </row>
    <row r="962">
      <c r="B962" s="59"/>
      <c r="C962" s="60"/>
      <c r="D962" s="60"/>
    </row>
    <row r="963">
      <c r="B963" s="59"/>
      <c r="C963" s="60"/>
      <c r="D963" s="60"/>
    </row>
    <row r="964">
      <c r="B964" s="59"/>
      <c r="C964" s="60"/>
      <c r="D964" s="60"/>
    </row>
    <row r="965">
      <c r="B965" s="59"/>
      <c r="C965" s="60"/>
      <c r="D965" s="60"/>
    </row>
    <row r="966">
      <c r="B966" s="59"/>
      <c r="C966" s="60"/>
      <c r="D966" s="60"/>
    </row>
    <row r="967">
      <c r="B967" s="59"/>
      <c r="C967" s="60"/>
      <c r="D967" s="60"/>
    </row>
    <row r="968">
      <c r="B968" s="59"/>
      <c r="C968" s="60"/>
      <c r="D968" s="60"/>
    </row>
    <row r="969">
      <c r="B969" s="59"/>
      <c r="C969" s="60"/>
      <c r="D969" s="60"/>
    </row>
    <row r="970">
      <c r="B970" s="59"/>
      <c r="C970" s="60"/>
      <c r="D970" s="60"/>
    </row>
    <row r="971">
      <c r="B971" s="59"/>
      <c r="C971" s="60"/>
      <c r="D971" s="60"/>
    </row>
    <row r="972">
      <c r="B972" s="59"/>
      <c r="C972" s="60"/>
      <c r="D972" s="60"/>
    </row>
    <row r="973">
      <c r="B973" s="59"/>
      <c r="C973" s="60"/>
      <c r="D973" s="60"/>
    </row>
    <row r="974">
      <c r="B974" s="59"/>
      <c r="C974" s="60"/>
      <c r="D974" s="60"/>
    </row>
    <row r="975">
      <c r="B975" s="59"/>
      <c r="C975" s="60"/>
      <c r="D975" s="60"/>
    </row>
    <row r="976">
      <c r="B976" s="59"/>
      <c r="C976" s="60"/>
      <c r="D976" s="60"/>
    </row>
    <row r="977">
      <c r="B977" s="59"/>
      <c r="C977" s="60"/>
      <c r="D977" s="60"/>
    </row>
    <row r="978">
      <c r="B978" s="59"/>
      <c r="C978" s="60"/>
      <c r="D978" s="60"/>
    </row>
    <row r="979">
      <c r="B979" s="59"/>
      <c r="C979" s="60"/>
      <c r="D979" s="60"/>
    </row>
    <row r="980">
      <c r="B980" s="59"/>
      <c r="C980" s="60"/>
      <c r="D980" s="60"/>
    </row>
    <row r="981">
      <c r="B981" s="59"/>
      <c r="C981" s="60"/>
      <c r="D981" s="60"/>
    </row>
    <row r="982">
      <c r="B982" s="59"/>
      <c r="C982" s="60"/>
      <c r="D982" s="60"/>
    </row>
    <row r="983">
      <c r="B983" s="59"/>
      <c r="C983" s="60"/>
      <c r="D983" s="60"/>
    </row>
    <row r="984">
      <c r="B984" s="59"/>
      <c r="C984" s="60"/>
      <c r="D984" s="60"/>
    </row>
    <row r="985">
      <c r="B985" s="59"/>
      <c r="C985" s="60"/>
      <c r="D985" s="60"/>
    </row>
    <row r="986">
      <c r="B986" s="59"/>
      <c r="C986" s="60"/>
      <c r="D986" s="60"/>
    </row>
    <row r="987">
      <c r="B987" s="59"/>
      <c r="C987" s="60"/>
      <c r="D987" s="60"/>
    </row>
    <row r="988">
      <c r="B988" s="59"/>
      <c r="C988" s="60"/>
      <c r="D988" s="60"/>
    </row>
    <row r="989">
      <c r="B989" s="59"/>
      <c r="C989" s="60"/>
      <c r="D989" s="60"/>
    </row>
    <row r="990">
      <c r="B990" s="59"/>
      <c r="C990" s="60"/>
      <c r="D990" s="60"/>
    </row>
    <row r="991">
      <c r="B991" s="59"/>
      <c r="C991" s="60"/>
      <c r="D991" s="60"/>
    </row>
    <row r="992">
      <c r="B992" s="59"/>
      <c r="C992" s="60"/>
      <c r="D992" s="60"/>
    </row>
    <row r="993">
      <c r="B993" s="59"/>
      <c r="C993" s="60"/>
      <c r="D993" s="60"/>
    </row>
    <row r="994">
      <c r="B994" s="59"/>
      <c r="C994" s="60"/>
      <c r="D994" s="60"/>
    </row>
    <row r="995">
      <c r="B995" s="59"/>
      <c r="C995" s="60"/>
      <c r="D995" s="60"/>
    </row>
    <row r="996">
      <c r="B996" s="59"/>
      <c r="C996" s="60"/>
      <c r="D996" s="60"/>
    </row>
    <row r="997">
      <c r="B997" s="59"/>
      <c r="C997" s="60"/>
      <c r="D997" s="60"/>
    </row>
    <row r="998">
      <c r="B998" s="59"/>
      <c r="C998" s="60"/>
      <c r="D998" s="60"/>
    </row>
    <row r="999">
      <c r="B999" s="59"/>
      <c r="C999" s="60"/>
      <c r="D999" s="60"/>
    </row>
    <row r="1000">
      <c r="B1000" s="59"/>
      <c r="C1000" s="60"/>
      <c r="D1000" s="60"/>
    </row>
  </sheetData>
  <conditionalFormatting sqref="E1:E1000">
    <cfRule type="cellIs" dxfId="3" priority="1" operator="greaterThan">
      <formula>100</formula>
    </cfRule>
  </conditionalFormatting>
  <conditionalFormatting sqref="F1:F1000">
    <cfRule type="cellIs" dxfId="3" priority="2" operator="greaterThan">
      <formula>4</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8.13"/>
  </cols>
  <sheetData>
    <row r="1">
      <c r="A1" s="6"/>
      <c r="B1" s="7" t="s">
        <v>18</v>
      </c>
      <c r="C1" s="8" t="s">
        <v>20</v>
      </c>
      <c r="D1" s="9"/>
      <c r="E1" s="9"/>
      <c r="F1" s="10"/>
      <c r="G1" s="9"/>
      <c r="H1" s="9"/>
      <c r="I1" s="10"/>
      <c r="J1" s="9"/>
      <c r="K1" s="9"/>
      <c r="L1" s="10"/>
      <c r="M1" s="9"/>
      <c r="N1" s="9"/>
      <c r="O1" s="10"/>
      <c r="P1" s="9"/>
      <c r="Q1" s="9"/>
      <c r="R1" s="10"/>
      <c r="S1" s="9"/>
      <c r="T1" s="9"/>
      <c r="U1" s="9"/>
      <c r="V1" s="9"/>
      <c r="W1" s="10"/>
      <c r="X1" s="10"/>
      <c r="Y1" s="9"/>
      <c r="Z1" s="10"/>
      <c r="AA1" s="10"/>
      <c r="AB1" s="9"/>
      <c r="AC1" s="10"/>
      <c r="AD1" s="10"/>
      <c r="AE1" s="9"/>
      <c r="AF1" s="9"/>
      <c r="AG1" s="10"/>
      <c r="AH1" s="9"/>
      <c r="AI1" s="9"/>
      <c r="AJ1" s="10"/>
      <c r="AK1" s="9"/>
      <c r="AL1" s="9"/>
      <c r="AM1" s="10"/>
      <c r="AN1" s="11"/>
      <c r="AO1" s="11"/>
      <c r="AP1" s="11"/>
      <c r="AQ1" s="11"/>
      <c r="AR1" s="11"/>
      <c r="AS1" s="11"/>
    </row>
    <row r="2">
      <c r="A2" s="12">
        <v>46297.864724467596</v>
      </c>
      <c r="B2" s="13">
        <v>6.90631054E8</v>
      </c>
      <c r="C2" s="14"/>
      <c r="D2" s="14" t="s">
        <v>19</v>
      </c>
      <c r="E2" s="14" t="s">
        <v>10</v>
      </c>
      <c r="F2" s="13">
        <v>94.0</v>
      </c>
      <c r="G2" s="14" t="s">
        <v>29</v>
      </c>
      <c r="H2" s="14" t="s">
        <v>10</v>
      </c>
      <c r="I2" s="13">
        <v>74.0</v>
      </c>
      <c r="J2" s="14" t="s">
        <v>31</v>
      </c>
      <c r="K2" s="14" t="s">
        <v>12</v>
      </c>
      <c r="L2" s="13">
        <v>14.0</v>
      </c>
      <c r="M2" s="14" t="s">
        <v>32</v>
      </c>
      <c r="N2" s="14" t="s">
        <v>17</v>
      </c>
      <c r="O2" s="13">
        <v>84.0</v>
      </c>
      <c r="P2" s="14" t="s">
        <v>34</v>
      </c>
      <c r="Q2" s="14" t="s">
        <v>35</v>
      </c>
      <c r="R2" s="13">
        <v>64.0</v>
      </c>
      <c r="S2" s="14" t="s">
        <v>36</v>
      </c>
      <c r="T2" s="14" t="s">
        <v>8</v>
      </c>
      <c r="U2" s="15" t="s">
        <v>37</v>
      </c>
      <c r="V2" s="14" t="s">
        <v>39</v>
      </c>
      <c r="W2" s="13">
        <v>199.0</v>
      </c>
      <c r="X2" s="13">
        <v>24.0</v>
      </c>
      <c r="Y2" s="14" t="s">
        <v>40</v>
      </c>
      <c r="Z2" s="13">
        <v>2026.0</v>
      </c>
      <c r="AA2" s="13">
        <v>4.0</v>
      </c>
      <c r="AB2" s="14" t="s">
        <v>41</v>
      </c>
      <c r="AC2" s="13">
        <v>2.0</v>
      </c>
      <c r="AD2" s="13">
        <v>34.0</v>
      </c>
      <c r="AE2" s="14" t="s">
        <v>43</v>
      </c>
      <c r="AF2" s="14" t="s">
        <v>44</v>
      </c>
      <c r="AG2" s="13">
        <v>54.0</v>
      </c>
      <c r="AH2" s="14" t="s">
        <v>45</v>
      </c>
      <c r="AI2" s="14" t="s">
        <v>46</v>
      </c>
      <c r="AJ2" s="13">
        <v>34.0</v>
      </c>
      <c r="AK2" s="14" t="s">
        <v>47</v>
      </c>
      <c r="AL2" s="14" t="s">
        <v>48</v>
      </c>
      <c r="AM2" s="18">
        <v>94.0</v>
      </c>
      <c r="AN2" s="11"/>
      <c r="AO2" s="11"/>
      <c r="AP2" s="11"/>
      <c r="AQ2" s="11"/>
      <c r="AR2" s="11"/>
      <c r="AS2" s="11"/>
    </row>
    <row r="3">
      <c r="A3" s="19">
        <v>46298.01535868055</v>
      </c>
      <c r="B3" s="20">
        <v>6.60610779E8</v>
      </c>
      <c r="C3" s="21"/>
      <c r="D3" s="21" t="s">
        <v>21</v>
      </c>
      <c r="E3" s="21" t="s">
        <v>12</v>
      </c>
      <c r="F3" s="20">
        <v>9.0</v>
      </c>
      <c r="G3" s="21" t="s">
        <v>52</v>
      </c>
      <c r="H3" s="21" t="s">
        <v>10</v>
      </c>
      <c r="I3" s="20">
        <v>9.0</v>
      </c>
      <c r="J3" s="21" t="s">
        <v>53</v>
      </c>
      <c r="K3" s="21" t="s">
        <v>10</v>
      </c>
      <c r="L3" s="20">
        <v>19.0</v>
      </c>
      <c r="M3" s="21" t="s">
        <v>54</v>
      </c>
      <c r="N3" s="21" t="s">
        <v>17</v>
      </c>
      <c r="O3" s="20">
        <v>29.0</v>
      </c>
      <c r="P3" s="21" t="s">
        <v>55</v>
      </c>
      <c r="Q3" s="21" t="s">
        <v>56</v>
      </c>
      <c r="R3" s="20">
        <v>49.0</v>
      </c>
      <c r="S3" s="21" t="s">
        <v>58</v>
      </c>
      <c r="T3" s="21" t="s">
        <v>56</v>
      </c>
      <c r="U3" s="20">
        <v>69.0</v>
      </c>
      <c r="V3" s="21" t="s">
        <v>59</v>
      </c>
      <c r="W3" s="20">
        <v>4600.0</v>
      </c>
      <c r="X3" s="20">
        <v>39.0</v>
      </c>
      <c r="Y3" s="21" t="s">
        <v>60</v>
      </c>
      <c r="Z3" s="20">
        <v>4900.0</v>
      </c>
      <c r="AA3" s="20">
        <v>39.0</v>
      </c>
      <c r="AB3" s="21" t="s">
        <v>62</v>
      </c>
      <c r="AC3" s="20">
        <v>5.0</v>
      </c>
      <c r="AD3" s="20">
        <v>59.0</v>
      </c>
      <c r="AE3" s="21" t="s">
        <v>63</v>
      </c>
      <c r="AF3" s="21" t="s">
        <v>64</v>
      </c>
      <c r="AG3" s="20">
        <v>89.0</v>
      </c>
      <c r="AH3" s="21" t="s">
        <v>65</v>
      </c>
      <c r="AI3" s="21" t="s">
        <v>67</v>
      </c>
      <c r="AJ3" s="20">
        <v>79.0</v>
      </c>
      <c r="AK3" s="21" t="s">
        <v>68</v>
      </c>
      <c r="AL3" s="22" t="s">
        <v>69</v>
      </c>
      <c r="AM3" s="23">
        <v>99.0</v>
      </c>
      <c r="AN3" s="11"/>
      <c r="AO3" s="11"/>
      <c r="AP3" s="11"/>
      <c r="AQ3" s="11"/>
      <c r="AR3" s="11"/>
      <c r="AS3" s="11"/>
    </row>
    <row r="4">
      <c r="A4" s="12">
        <v>46298.406938125</v>
      </c>
      <c r="B4" s="13">
        <v>6.70610673E8</v>
      </c>
      <c r="C4" s="14"/>
      <c r="D4" s="14" t="s">
        <v>22</v>
      </c>
      <c r="E4" s="14" t="s">
        <v>12</v>
      </c>
      <c r="F4" s="13">
        <v>3.0</v>
      </c>
      <c r="G4" s="14" t="s">
        <v>57</v>
      </c>
      <c r="H4" s="14" t="s">
        <v>12</v>
      </c>
      <c r="I4" s="13">
        <v>3.0</v>
      </c>
      <c r="J4" s="14" t="s">
        <v>72</v>
      </c>
      <c r="K4" s="14" t="s">
        <v>10</v>
      </c>
      <c r="L4" s="13">
        <v>3.0</v>
      </c>
      <c r="M4" s="14" t="s">
        <v>74</v>
      </c>
      <c r="N4" s="14" t="s">
        <v>17</v>
      </c>
      <c r="O4" s="13">
        <v>13.0</v>
      </c>
      <c r="P4" s="14" t="s">
        <v>75</v>
      </c>
      <c r="Q4" s="14" t="s">
        <v>8</v>
      </c>
      <c r="R4" s="13">
        <v>13.0</v>
      </c>
      <c r="S4" s="14" t="s">
        <v>76</v>
      </c>
      <c r="T4" s="14" t="s">
        <v>77</v>
      </c>
      <c r="U4" s="13">
        <v>13.0</v>
      </c>
      <c r="V4" s="14" t="s">
        <v>78</v>
      </c>
      <c r="W4" s="13">
        <v>40.0</v>
      </c>
      <c r="X4" s="13">
        <v>23.0</v>
      </c>
      <c r="Y4" s="14" t="s">
        <v>80</v>
      </c>
      <c r="Z4" s="13">
        <v>12.0</v>
      </c>
      <c r="AA4" s="13">
        <v>23.0</v>
      </c>
      <c r="AB4" s="14" t="s">
        <v>81</v>
      </c>
      <c r="AC4" s="13">
        <v>2.0</v>
      </c>
      <c r="AD4" s="13">
        <v>23.0</v>
      </c>
      <c r="AE4" s="14" t="s">
        <v>82</v>
      </c>
      <c r="AF4" s="14" t="s">
        <v>83</v>
      </c>
      <c r="AG4" s="13">
        <v>73.0</v>
      </c>
      <c r="AH4" s="14" t="s">
        <v>84</v>
      </c>
      <c r="AI4" s="14" t="s">
        <v>85</v>
      </c>
      <c r="AJ4" s="13">
        <v>73.0</v>
      </c>
      <c r="AK4" s="14" t="s">
        <v>87</v>
      </c>
      <c r="AL4" s="14" t="s">
        <v>88</v>
      </c>
      <c r="AM4" s="18">
        <v>93.0</v>
      </c>
      <c r="AN4" s="11"/>
      <c r="AO4" s="11"/>
      <c r="AP4" s="11"/>
      <c r="AQ4" s="11"/>
      <c r="AR4" s="11"/>
      <c r="AS4" s="11"/>
    </row>
    <row r="5">
      <c r="A5" s="19">
        <v>46298.6509454051</v>
      </c>
      <c r="B5" s="20">
        <v>6.60610777E8</v>
      </c>
      <c r="C5" s="21"/>
      <c r="D5" s="21" t="s">
        <v>23</v>
      </c>
      <c r="E5" s="21" t="s">
        <v>12</v>
      </c>
      <c r="F5" s="20">
        <v>7.0</v>
      </c>
      <c r="G5" s="21" t="s">
        <v>61</v>
      </c>
      <c r="H5" s="21" t="s">
        <v>10</v>
      </c>
      <c r="I5" s="20">
        <v>27.0</v>
      </c>
      <c r="J5" s="21" t="s">
        <v>89</v>
      </c>
      <c r="K5" s="21" t="s">
        <v>12</v>
      </c>
      <c r="L5" s="20">
        <v>47.0</v>
      </c>
      <c r="M5" s="21" t="s">
        <v>90</v>
      </c>
      <c r="N5" s="21" t="s">
        <v>17</v>
      </c>
      <c r="O5" s="20">
        <v>17.0</v>
      </c>
      <c r="P5" s="21" t="s">
        <v>91</v>
      </c>
      <c r="Q5" s="21" t="s">
        <v>8</v>
      </c>
      <c r="R5" s="20">
        <v>37.0</v>
      </c>
      <c r="S5" s="21" t="s">
        <v>93</v>
      </c>
      <c r="T5" s="21" t="s">
        <v>56</v>
      </c>
      <c r="U5" s="20">
        <v>77.0</v>
      </c>
      <c r="V5" s="21" t="s">
        <v>94</v>
      </c>
      <c r="W5" s="20">
        <v>50.0</v>
      </c>
      <c r="X5" s="20">
        <v>57.0</v>
      </c>
      <c r="Y5" s="21" t="s">
        <v>95</v>
      </c>
      <c r="Z5" s="20">
        <v>3.0</v>
      </c>
      <c r="AA5" s="20">
        <v>67.0</v>
      </c>
      <c r="AB5" s="21" t="s">
        <v>96</v>
      </c>
      <c r="AC5" s="20">
        <v>1078.0</v>
      </c>
      <c r="AD5" s="20">
        <v>47.0</v>
      </c>
      <c r="AE5" s="21" t="s">
        <v>98</v>
      </c>
      <c r="AF5" s="21" t="s">
        <v>99</v>
      </c>
      <c r="AG5" s="20">
        <v>87.0</v>
      </c>
      <c r="AH5" s="21" t="s">
        <v>100</v>
      </c>
      <c r="AI5" s="21" t="s">
        <v>101</v>
      </c>
      <c r="AJ5" s="20">
        <v>7.0</v>
      </c>
      <c r="AK5" s="21" t="s">
        <v>102</v>
      </c>
      <c r="AL5" s="21" t="s">
        <v>103</v>
      </c>
      <c r="AM5" s="23">
        <v>37.0</v>
      </c>
      <c r="AN5" s="11"/>
      <c r="AO5" s="11"/>
      <c r="AP5" s="11"/>
      <c r="AQ5" s="11"/>
      <c r="AR5" s="11"/>
      <c r="AS5" s="11"/>
    </row>
    <row r="6">
      <c r="A6" s="12">
        <v>46298.73960152778</v>
      </c>
      <c r="B6" s="13">
        <v>6.70610827E8</v>
      </c>
      <c r="C6" s="14"/>
      <c r="D6" s="14" t="s">
        <v>105</v>
      </c>
      <c r="E6" s="14" t="s">
        <v>10</v>
      </c>
      <c r="F6" s="15" t="s">
        <v>106</v>
      </c>
      <c r="G6" s="14" t="s">
        <v>107</v>
      </c>
      <c r="H6" s="14" t="s">
        <v>12</v>
      </c>
      <c r="I6" s="15" t="s">
        <v>106</v>
      </c>
      <c r="J6" s="14" t="s">
        <v>108</v>
      </c>
      <c r="K6" s="14" t="s">
        <v>12</v>
      </c>
      <c r="L6" s="15" t="s">
        <v>106</v>
      </c>
      <c r="M6" s="14" t="s">
        <v>110</v>
      </c>
      <c r="N6" s="14" t="s">
        <v>8</v>
      </c>
      <c r="O6" s="15" t="s">
        <v>111</v>
      </c>
      <c r="P6" s="14" t="s">
        <v>112</v>
      </c>
      <c r="Q6" s="14" t="s">
        <v>8</v>
      </c>
      <c r="R6" s="15" t="s">
        <v>113</v>
      </c>
      <c r="S6" s="14" t="s">
        <v>114</v>
      </c>
      <c r="T6" s="14" t="s">
        <v>56</v>
      </c>
      <c r="U6" s="15" t="s">
        <v>115</v>
      </c>
      <c r="V6" s="14" t="s">
        <v>116</v>
      </c>
      <c r="W6" s="13">
        <v>3600.0</v>
      </c>
      <c r="X6" s="15" t="s">
        <v>117</v>
      </c>
      <c r="Y6" s="14" t="s">
        <v>118</v>
      </c>
      <c r="Z6" s="13">
        <v>1.18E7</v>
      </c>
      <c r="AA6" s="15" t="s">
        <v>119</v>
      </c>
      <c r="AB6" s="14" t="s">
        <v>120</v>
      </c>
      <c r="AC6" s="13">
        <v>1500.0</v>
      </c>
      <c r="AD6" s="15" t="s">
        <v>122</v>
      </c>
      <c r="AE6" s="14" t="s">
        <v>123</v>
      </c>
      <c r="AF6" s="14" t="s">
        <v>124</v>
      </c>
      <c r="AG6" s="15" t="s">
        <v>119</v>
      </c>
      <c r="AH6" s="14" t="s">
        <v>125</v>
      </c>
      <c r="AI6" s="14" t="s">
        <v>127</v>
      </c>
      <c r="AJ6" s="15" t="s">
        <v>122</v>
      </c>
      <c r="AK6" s="26" t="s">
        <v>128</v>
      </c>
      <c r="AL6" s="14" t="s">
        <v>129</v>
      </c>
      <c r="AM6" s="28" t="s">
        <v>130</v>
      </c>
      <c r="AN6" s="11"/>
      <c r="AO6" s="11"/>
      <c r="AP6" s="11"/>
      <c r="AQ6" s="11"/>
      <c r="AR6" s="11"/>
      <c r="AS6" s="11"/>
    </row>
    <row r="7">
      <c r="A7" s="19">
        <v>46298.86905350695</v>
      </c>
      <c r="B7" s="20">
        <v>6.70610722E8</v>
      </c>
      <c r="C7" s="21"/>
      <c r="D7" s="21" t="s">
        <v>25</v>
      </c>
      <c r="E7" s="21" t="s">
        <v>12</v>
      </c>
      <c r="F7" s="20">
        <v>2.0</v>
      </c>
      <c r="G7" s="21" t="s">
        <v>70</v>
      </c>
      <c r="H7" s="21" t="s">
        <v>10</v>
      </c>
      <c r="I7" s="20">
        <v>2.0</v>
      </c>
      <c r="J7" s="21" t="s">
        <v>131</v>
      </c>
      <c r="K7" s="21" t="s">
        <v>10</v>
      </c>
      <c r="L7" s="20">
        <v>12.0</v>
      </c>
      <c r="M7" s="21" t="s">
        <v>132</v>
      </c>
      <c r="N7" s="21" t="s">
        <v>8</v>
      </c>
      <c r="O7" s="20">
        <v>12.0</v>
      </c>
      <c r="P7" s="21" t="s">
        <v>133</v>
      </c>
      <c r="Q7" s="21" t="s">
        <v>17</v>
      </c>
      <c r="R7" s="20">
        <v>22.0</v>
      </c>
      <c r="S7" s="21" t="s">
        <v>134</v>
      </c>
      <c r="T7" s="21" t="s">
        <v>56</v>
      </c>
      <c r="U7" s="20">
        <v>22.0</v>
      </c>
      <c r="V7" s="21" t="s">
        <v>135</v>
      </c>
      <c r="W7" s="20">
        <v>23.2</v>
      </c>
      <c r="X7" s="20">
        <v>32.0</v>
      </c>
      <c r="Y7" s="21" t="s">
        <v>136</v>
      </c>
      <c r="Z7" s="20">
        <v>1.25</v>
      </c>
      <c r="AA7" s="20">
        <v>32.0</v>
      </c>
      <c r="AB7" s="21" t="s">
        <v>137</v>
      </c>
      <c r="AC7" s="20">
        <v>1800.0</v>
      </c>
      <c r="AD7" s="20">
        <v>42.0</v>
      </c>
      <c r="AE7" s="21" t="s">
        <v>138</v>
      </c>
      <c r="AF7" s="21" t="s">
        <v>139</v>
      </c>
      <c r="AG7" s="20">
        <v>52.0</v>
      </c>
      <c r="AH7" s="21" t="s">
        <v>140</v>
      </c>
      <c r="AI7" s="21" t="s">
        <v>141</v>
      </c>
      <c r="AJ7" s="20">
        <v>62.0</v>
      </c>
      <c r="AK7" s="21" t="s">
        <v>142</v>
      </c>
      <c r="AL7" s="21" t="s">
        <v>143</v>
      </c>
      <c r="AM7" s="23">
        <v>62.0</v>
      </c>
      <c r="AN7" s="11"/>
      <c r="AO7" s="11"/>
      <c r="AP7" s="11"/>
      <c r="AQ7" s="11"/>
      <c r="AR7" s="11"/>
      <c r="AS7" s="11"/>
    </row>
    <row r="8">
      <c r="A8" s="12">
        <v>46299.469343564815</v>
      </c>
      <c r="B8" s="13">
        <v>6.706108E8</v>
      </c>
      <c r="C8" s="14"/>
      <c r="D8" s="14" t="s">
        <v>26</v>
      </c>
      <c r="E8" s="14" t="s">
        <v>10</v>
      </c>
      <c r="F8" s="13">
        <v>10.0</v>
      </c>
      <c r="G8" s="14" t="s">
        <v>71</v>
      </c>
      <c r="H8" s="14" t="s">
        <v>12</v>
      </c>
      <c r="I8" s="13">
        <v>10.0</v>
      </c>
      <c r="J8" s="29"/>
      <c r="K8" s="29"/>
      <c r="L8" s="29"/>
      <c r="M8" s="14" t="s">
        <v>145</v>
      </c>
      <c r="N8" s="14" t="s">
        <v>56</v>
      </c>
      <c r="O8" s="13">
        <v>20.0</v>
      </c>
      <c r="P8" s="14" t="s">
        <v>146</v>
      </c>
      <c r="Q8" s="14" t="s">
        <v>147</v>
      </c>
      <c r="R8" s="13">
        <v>20.0</v>
      </c>
      <c r="S8" s="29"/>
      <c r="T8" s="29"/>
      <c r="U8" s="29"/>
      <c r="V8" s="14" t="s">
        <v>148</v>
      </c>
      <c r="W8" s="13">
        <v>5.0</v>
      </c>
      <c r="X8" s="13">
        <v>30.0</v>
      </c>
      <c r="Y8" s="14" t="s">
        <v>150</v>
      </c>
      <c r="Z8" s="13">
        <v>2.0</v>
      </c>
      <c r="AA8" s="13">
        <v>30.0</v>
      </c>
      <c r="AB8" s="29"/>
      <c r="AC8" s="29"/>
      <c r="AD8" s="29"/>
      <c r="AE8" s="26" t="s">
        <v>151</v>
      </c>
      <c r="AF8" s="14" t="s">
        <v>152</v>
      </c>
      <c r="AG8" s="13">
        <v>50.0</v>
      </c>
      <c r="AH8" s="14" t="s">
        <v>153</v>
      </c>
      <c r="AI8" s="14" t="s">
        <v>154</v>
      </c>
      <c r="AJ8" s="13">
        <v>50.0</v>
      </c>
      <c r="AK8" s="29"/>
      <c r="AL8" s="29"/>
      <c r="AM8" s="30"/>
      <c r="AN8" s="11"/>
      <c r="AO8" s="11"/>
      <c r="AP8" s="11"/>
      <c r="AQ8" s="11"/>
      <c r="AR8" s="11"/>
      <c r="AS8" s="11"/>
    </row>
    <row r="9">
      <c r="A9" s="19">
        <v>46299.637452986106</v>
      </c>
      <c r="B9" s="20">
        <v>6.60610799E8</v>
      </c>
      <c r="C9" s="21"/>
      <c r="D9" s="21" t="s">
        <v>27</v>
      </c>
      <c r="E9" s="21" t="s">
        <v>10</v>
      </c>
      <c r="F9" s="22" t="s">
        <v>157</v>
      </c>
      <c r="G9" s="21" t="s">
        <v>73</v>
      </c>
      <c r="H9" s="21" t="s">
        <v>10</v>
      </c>
      <c r="I9" s="22" t="s">
        <v>157</v>
      </c>
      <c r="J9" s="21" t="s">
        <v>149</v>
      </c>
      <c r="K9" s="21" t="s">
        <v>12</v>
      </c>
      <c r="L9" s="22" t="s">
        <v>158</v>
      </c>
      <c r="M9" s="21" t="s">
        <v>159</v>
      </c>
      <c r="N9" s="21" t="s">
        <v>35</v>
      </c>
      <c r="O9" s="22" t="s">
        <v>160</v>
      </c>
      <c r="P9" s="21" t="s">
        <v>162</v>
      </c>
      <c r="Q9" s="21" t="s">
        <v>17</v>
      </c>
      <c r="R9" s="22" t="s">
        <v>160</v>
      </c>
      <c r="S9" s="21" t="s">
        <v>163</v>
      </c>
      <c r="T9" s="21" t="s">
        <v>35</v>
      </c>
      <c r="U9" s="22" t="s">
        <v>164</v>
      </c>
      <c r="V9" s="21" t="s">
        <v>165</v>
      </c>
      <c r="W9" s="20">
        <v>30.0</v>
      </c>
      <c r="X9" s="22" t="s">
        <v>166</v>
      </c>
      <c r="Y9" s="21" t="s">
        <v>167</v>
      </c>
      <c r="Z9" s="20">
        <v>350.0</v>
      </c>
      <c r="AA9" s="22" t="s">
        <v>168</v>
      </c>
      <c r="AB9" s="21" t="s">
        <v>169</v>
      </c>
      <c r="AC9" s="20">
        <v>200.0</v>
      </c>
      <c r="AD9" s="22" t="s">
        <v>168</v>
      </c>
      <c r="AE9" s="21" t="s">
        <v>171</v>
      </c>
      <c r="AF9" s="20">
        <v>2.07</v>
      </c>
      <c r="AG9" s="22" t="s">
        <v>172</v>
      </c>
      <c r="AH9" s="21" t="s">
        <v>173</v>
      </c>
      <c r="AI9" s="21" t="s">
        <v>174</v>
      </c>
      <c r="AJ9" s="22" t="s">
        <v>175</v>
      </c>
      <c r="AK9" s="21" t="s">
        <v>176</v>
      </c>
      <c r="AL9" s="21" t="s">
        <v>177</v>
      </c>
      <c r="AM9" s="31" t="s">
        <v>179</v>
      </c>
      <c r="AN9" s="11"/>
      <c r="AO9" s="11"/>
      <c r="AP9" s="11"/>
      <c r="AQ9" s="11"/>
      <c r="AR9" s="11"/>
      <c r="AS9" s="11"/>
    </row>
    <row r="10">
      <c r="A10" s="12">
        <v>46299.87022834491</v>
      </c>
      <c r="B10" s="13">
        <v>6.60610771E8</v>
      </c>
      <c r="C10" s="14"/>
      <c r="D10" s="14" t="s">
        <v>28</v>
      </c>
      <c r="E10" s="14" t="s">
        <v>12</v>
      </c>
      <c r="F10" s="13">
        <v>1.0</v>
      </c>
      <c r="G10" s="14" t="s">
        <v>79</v>
      </c>
      <c r="H10" s="14" t="s">
        <v>10</v>
      </c>
      <c r="I10" s="13">
        <v>31.0</v>
      </c>
      <c r="J10" s="14" t="s">
        <v>155</v>
      </c>
      <c r="K10" s="14" t="s">
        <v>12</v>
      </c>
      <c r="L10" s="13">
        <v>81.0</v>
      </c>
      <c r="M10" s="14" t="s">
        <v>181</v>
      </c>
      <c r="N10" s="14" t="s">
        <v>17</v>
      </c>
      <c r="O10" s="13">
        <v>61.0</v>
      </c>
      <c r="P10" s="14" t="s">
        <v>182</v>
      </c>
      <c r="Q10" s="14" t="s">
        <v>35</v>
      </c>
      <c r="R10" s="13">
        <v>21.0</v>
      </c>
      <c r="S10" s="14" t="s">
        <v>184</v>
      </c>
      <c r="T10" s="14" t="s">
        <v>8</v>
      </c>
      <c r="U10" s="13">
        <v>51.0</v>
      </c>
      <c r="V10" s="14" t="s">
        <v>185</v>
      </c>
      <c r="W10" s="13">
        <v>1500.0</v>
      </c>
      <c r="X10" s="13">
        <v>11.0</v>
      </c>
      <c r="Y10" s="14" t="s">
        <v>186</v>
      </c>
      <c r="Z10" s="13">
        <v>150.0</v>
      </c>
      <c r="AA10" s="13">
        <v>51.0</v>
      </c>
      <c r="AB10" s="14" t="s">
        <v>187</v>
      </c>
      <c r="AC10" s="13">
        <v>50000.0</v>
      </c>
      <c r="AD10" s="13">
        <v>91.0</v>
      </c>
      <c r="AE10" s="14" t="s">
        <v>188</v>
      </c>
      <c r="AF10" s="14" t="s">
        <v>189</v>
      </c>
      <c r="AG10" s="13">
        <v>41.0</v>
      </c>
      <c r="AH10" s="14" t="s">
        <v>190</v>
      </c>
      <c r="AI10" s="14" t="s">
        <v>192</v>
      </c>
      <c r="AJ10" s="13">
        <v>71.0</v>
      </c>
      <c r="AK10" s="14" t="s">
        <v>193</v>
      </c>
      <c r="AL10" s="14" t="s">
        <v>194</v>
      </c>
      <c r="AM10" s="18">
        <v>31.0</v>
      </c>
      <c r="AN10" s="11"/>
      <c r="AO10" s="11"/>
      <c r="AP10" s="11"/>
      <c r="AQ10" s="11"/>
      <c r="AR10" s="11"/>
      <c r="AS10" s="11"/>
    </row>
    <row r="11">
      <c r="A11" s="19">
        <v>46299.89760116898</v>
      </c>
      <c r="B11" s="20">
        <v>6.60610763E8</v>
      </c>
      <c r="C11" s="21"/>
      <c r="D11" s="21" t="s">
        <v>30</v>
      </c>
      <c r="E11" s="21" t="s">
        <v>12</v>
      </c>
      <c r="F11" s="20">
        <v>13.0</v>
      </c>
      <c r="G11" s="21" t="s">
        <v>86</v>
      </c>
      <c r="H11" s="21" t="s">
        <v>12</v>
      </c>
      <c r="I11" s="20">
        <v>93.0</v>
      </c>
      <c r="J11" s="21" t="s">
        <v>156</v>
      </c>
      <c r="K11" s="21" t="s">
        <v>12</v>
      </c>
      <c r="L11" s="20">
        <v>73.0</v>
      </c>
      <c r="M11" s="21" t="s">
        <v>195</v>
      </c>
      <c r="N11" s="21" t="s">
        <v>56</v>
      </c>
      <c r="O11" s="20">
        <v>43.0</v>
      </c>
      <c r="P11" s="21" t="s">
        <v>196</v>
      </c>
      <c r="Q11" s="21" t="s">
        <v>17</v>
      </c>
      <c r="R11" s="22" t="s">
        <v>197</v>
      </c>
      <c r="S11" s="21" t="s">
        <v>198</v>
      </c>
      <c r="T11" s="21" t="s">
        <v>56</v>
      </c>
      <c r="U11" s="20">
        <v>23.0</v>
      </c>
      <c r="V11" s="21" t="s">
        <v>199</v>
      </c>
      <c r="W11" s="20">
        <v>12.0</v>
      </c>
      <c r="X11" s="20">
        <v>43.0</v>
      </c>
      <c r="Y11" s="21" t="s">
        <v>200</v>
      </c>
      <c r="Z11" s="20">
        <v>100.0</v>
      </c>
      <c r="AA11" s="20">
        <v>93.0</v>
      </c>
      <c r="AB11" s="21" t="s">
        <v>201</v>
      </c>
      <c r="AC11" s="20">
        <v>14.0</v>
      </c>
      <c r="AD11" s="20">
        <v>73.0</v>
      </c>
      <c r="AE11" s="21" t="s">
        <v>202</v>
      </c>
      <c r="AF11" s="22" t="s">
        <v>203</v>
      </c>
      <c r="AG11" s="20">
        <v>13.0</v>
      </c>
      <c r="AH11" s="21" t="s">
        <v>204</v>
      </c>
      <c r="AI11" s="21" t="s">
        <v>205</v>
      </c>
      <c r="AJ11" s="20">
        <v>23.0</v>
      </c>
      <c r="AK11" s="21" t="s">
        <v>206</v>
      </c>
      <c r="AL11" s="21" t="s">
        <v>207</v>
      </c>
      <c r="AM11" s="31" t="s">
        <v>197</v>
      </c>
      <c r="AN11" s="11"/>
      <c r="AO11" s="11"/>
      <c r="AP11" s="11"/>
      <c r="AQ11" s="11"/>
      <c r="AR11" s="11"/>
      <c r="AS11" s="11"/>
    </row>
    <row r="12">
      <c r="A12" s="12">
        <v>46299.94399302083</v>
      </c>
      <c r="B12" s="13">
        <v>6.60610782E8</v>
      </c>
      <c r="C12" s="14"/>
      <c r="D12" s="14" t="s">
        <v>33</v>
      </c>
      <c r="E12" s="14" t="s">
        <v>10</v>
      </c>
      <c r="F12" s="15" t="s">
        <v>208</v>
      </c>
      <c r="G12" s="14" t="s">
        <v>92</v>
      </c>
      <c r="H12" s="14" t="s">
        <v>12</v>
      </c>
      <c r="I12" s="15" t="s">
        <v>209</v>
      </c>
      <c r="J12" s="14" t="s">
        <v>161</v>
      </c>
      <c r="K12" s="14" t="s">
        <v>12</v>
      </c>
      <c r="L12" s="15" t="s">
        <v>210</v>
      </c>
      <c r="M12" s="14" t="s">
        <v>212</v>
      </c>
      <c r="N12" s="14" t="s">
        <v>8</v>
      </c>
      <c r="O12" s="15" t="s">
        <v>213</v>
      </c>
      <c r="P12" s="14" t="s">
        <v>214</v>
      </c>
      <c r="Q12" s="14" t="s">
        <v>56</v>
      </c>
      <c r="R12" s="15" t="s">
        <v>215</v>
      </c>
      <c r="S12" s="14" t="s">
        <v>216</v>
      </c>
      <c r="T12" s="14" t="s">
        <v>56</v>
      </c>
      <c r="U12" s="15" t="s">
        <v>217</v>
      </c>
      <c r="V12" s="14" t="s">
        <v>218</v>
      </c>
      <c r="W12" s="13">
        <v>600.0</v>
      </c>
      <c r="X12" s="15" t="s">
        <v>219</v>
      </c>
      <c r="Y12" s="14" t="s">
        <v>220</v>
      </c>
      <c r="Z12" s="13">
        <v>38.0</v>
      </c>
      <c r="AA12" s="15" t="s">
        <v>221</v>
      </c>
      <c r="AB12" s="14" t="s">
        <v>222</v>
      </c>
      <c r="AC12" s="13">
        <v>1286.0</v>
      </c>
      <c r="AD12" s="15" t="s">
        <v>223</v>
      </c>
      <c r="AE12" s="14" t="s">
        <v>224</v>
      </c>
      <c r="AF12" s="14" t="s">
        <v>225</v>
      </c>
      <c r="AG12" s="15" t="s">
        <v>226</v>
      </c>
      <c r="AH12" s="14" t="s">
        <v>227</v>
      </c>
      <c r="AI12" s="14" t="s">
        <v>228</v>
      </c>
      <c r="AJ12" s="15" t="s">
        <v>219</v>
      </c>
      <c r="AK12" s="14" t="s">
        <v>229</v>
      </c>
      <c r="AL12" s="14" t="s">
        <v>230</v>
      </c>
      <c r="AM12" s="28" t="s">
        <v>208</v>
      </c>
      <c r="AN12" s="11"/>
      <c r="AO12" s="11"/>
      <c r="AP12" s="11"/>
      <c r="AQ12" s="11"/>
      <c r="AR12" s="11"/>
      <c r="AS12" s="11"/>
    </row>
    <row r="13">
      <c r="A13" s="19">
        <v>46299.961086967596</v>
      </c>
      <c r="B13" s="20">
        <v>6.70610737E8</v>
      </c>
      <c r="C13" s="21"/>
      <c r="D13" s="21" t="s">
        <v>38</v>
      </c>
      <c r="E13" s="21" t="s">
        <v>10</v>
      </c>
      <c r="F13" s="22" t="s">
        <v>113</v>
      </c>
      <c r="G13" s="21" t="s">
        <v>97</v>
      </c>
      <c r="H13" s="21" t="s">
        <v>10</v>
      </c>
      <c r="I13" s="22" t="s">
        <v>113</v>
      </c>
      <c r="J13" s="21" t="s">
        <v>170</v>
      </c>
      <c r="K13" s="21" t="s">
        <v>12</v>
      </c>
      <c r="L13" s="22" t="s">
        <v>106</v>
      </c>
      <c r="M13" s="21" t="s">
        <v>232</v>
      </c>
      <c r="N13" s="21" t="s">
        <v>17</v>
      </c>
      <c r="O13" s="22" t="s">
        <v>106</v>
      </c>
      <c r="P13" s="21" t="s">
        <v>233</v>
      </c>
      <c r="Q13" s="21" t="s">
        <v>8</v>
      </c>
      <c r="R13" s="22" t="s">
        <v>115</v>
      </c>
      <c r="S13" s="21" t="s">
        <v>234</v>
      </c>
      <c r="T13" s="21" t="s">
        <v>56</v>
      </c>
      <c r="U13" s="22" t="s">
        <v>122</v>
      </c>
      <c r="V13" s="21" t="s">
        <v>235</v>
      </c>
      <c r="W13" s="20">
        <v>3.0</v>
      </c>
      <c r="X13" s="22" t="s">
        <v>122</v>
      </c>
      <c r="Y13" s="21" t="s">
        <v>236</v>
      </c>
      <c r="Z13" s="20">
        <v>86.0</v>
      </c>
      <c r="AA13" s="22" t="s">
        <v>119</v>
      </c>
      <c r="AB13" s="21" t="s">
        <v>237</v>
      </c>
      <c r="AC13" s="20">
        <v>350.0</v>
      </c>
      <c r="AD13" s="22" t="s">
        <v>238</v>
      </c>
      <c r="AE13" s="21" t="s">
        <v>239</v>
      </c>
      <c r="AF13" s="21" t="s">
        <v>240</v>
      </c>
      <c r="AG13" s="22" t="s">
        <v>111</v>
      </c>
      <c r="AH13" s="21" t="s">
        <v>241</v>
      </c>
      <c r="AI13" s="21" t="s">
        <v>242</v>
      </c>
      <c r="AJ13" s="22" t="s">
        <v>106</v>
      </c>
      <c r="AK13" s="21" t="s">
        <v>243</v>
      </c>
      <c r="AL13" s="21" t="s">
        <v>244</v>
      </c>
      <c r="AM13" s="31" t="s">
        <v>130</v>
      </c>
      <c r="AN13" s="11"/>
      <c r="AO13" s="11"/>
      <c r="AP13" s="11"/>
      <c r="AQ13" s="11"/>
      <c r="AR13" s="11"/>
      <c r="AS13" s="11"/>
    </row>
    <row r="14">
      <c r="A14" s="12">
        <v>46299.96339399306</v>
      </c>
      <c r="B14" s="13">
        <v>6.60610748E8</v>
      </c>
      <c r="C14" s="14"/>
      <c r="D14" s="14" t="s">
        <v>42</v>
      </c>
      <c r="E14" s="14" t="s">
        <v>12</v>
      </c>
      <c r="F14" s="13">
        <v>8.0</v>
      </c>
      <c r="G14" s="14" t="s">
        <v>104</v>
      </c>
      <c r="H14" s="14" t="s">
        <v>12</v>
      </c>
      <c r="I14" s="13">
        <v>28.0</v>
      </c>
      <c r="J14" s="14" t="s">
        <v>178</v>
      </c>
      <c r="K14" s="14" t="s">
        <v>10</v>
      </c>
      <c r="L14" s="13">
        <v>28.0</v>
      </c>
      <c r="M14" s="14" t="s">
        <v>246</v>
      </c>
      <c r="N14" s="14" t="s">
        <v>56</v>
      </c>
      <c r="O14" s="13">
        <v>8.0</v>
      </c>
      <c r="P14" s="14" t="s">
        <v>247</v>
      </c>
      <c r="Q14" s="14" t="s">
        <v>17</v>
      </c>
      <c r="R14" s="13">
        <v>48.0</v>
      </c>
      <c r="S14" s="14" t="s">
        <v>248</v>
      </c>
      <c r="T14" s="14" t="s">
        <v>8</v>
      </c>
      <c r="U14" s="13">
        <v>98.0</v>
      </c>
      <c r="V14" s="14" t="s">
        <v>249</v>
      </c>
      <c r="W14" s="13">
        <v>400.0</v>
      </c>
      <c r="X14" s="13">
        <v>78.0</v>
      </c>
      <c r="Y14" s="14" t="s">
        <v>250</v>
      </c>
      <c r="Z14" s="13">
        <v>99.0</v>
      </c>
      <c r="AA14" s="13">
        <v>88.0</v>
      </c>
      <c r="AB14" s="14" t="s">
        <v>251</v>
      </c>
      <c r="AC14" s="13">
        <v>10000.0</v>
      </c>
      <c r="AD14" s="13">
        <v>98.0</v>
      </c>
      <c r="AE14" s="14" t="s">
        <v>252</v>
      </c>
      <c r="AF14" s="14" t="s">
        <v>253</v>
      </c>
      <c r="AG14" s="13">
        <v>58.0</v>
      </c>
      <c r="AH14" s="14" t="s">
        <v>254</v>
      </c>
      <c r="AI14" s="14" t="s">
        <v>255</v>
      </c>
      <c r="AJ14" s="13">
        <v>88.0</v>
      </c>
      <c r="AK14" s="14" t="s">
        <v>256</v>
      </c>
      <c r="AL14" s="14" t="s">
        <v>257</v>
      </c>
      <c r="AM14" s="18">
        <v>18.0</v>
      </c>
      <c r="AN14" s="11"/>
      <c r="AO14" s="11"/>
      <c r="AP14" s="11"/>
      <c r="AQ14" s="11"/>
      <c r="AR14" s="11"/>
      <c r="AS14" s="11"/>
    </row>
    <row r="15">
      <c r="A15" s="19">
        <v>46300.138671215274</v>
      </c>
      <c r="B15" s="32">
        <v>6.70610724E8</v>
      </c>
      <c r="C15" s="21"/>
      <c r="D15" s="33" t="s">
        <v>49</v>
      </c>
      <c r="E15" s="21" t="s">
        <v>12</v>
      </c>
      <c r="F15" s="20">
        <v>4.0</v>
      </c>
      <c r="G15" s="33" t="s">
        <v>109</v>
      </c>
      <c r="H15" s="21" t="s">
        <v>12</v>
      </c>
      <c r="I15" s="20">
        <v>14.0</v>
      </c>
      <c r="J15" s="21" t="s">
        <v>180</v>
      </c>
      <c r="K15" s="21" t="s">
        <v>12</v>
      </c>
      <c r="L15" s="20">
        <v>24.0</v>
      </c>
      <c r="M15" s="21" t="s">
        <v>260</v>
      </c>
      <c r="N15" s="21" t="s">
        <v>56</v>
      </c>
      <c r="O15" s="20">
        <v>34.0</v>
      </c>
      <c r="P15" s="33" t="s">
        <v>261</v>
      </c>
      <c r="Q15" s="21" t="s">
        <v>35</v>
      </c>
      <c r="R15" s="20">
        <v>34.0</v>
      </c>
      <c r="S15" s="21" t="s">
        <v>262</v>
      </c>
      <c r="T15" s="21" t="s">
        <v>35</v>
      </c>
      <c r="U15" s="20">
        <v>44.0</v>
      </c>
      <c r="V15" s="21" t="s">
        <v>263</v>
      </c>
      <c r="W15" s="20">
        <v>4.0</v>
      </c>
      <c r="X15" s="20">
        <v>84.0</v>
      </c>
      <c r="Y15" s="33" t="s">
        <v>264</v>
      </c>
      <c r="Z15" s="20">
        <v>550.0</v>
      </c>
      <c r="AA15" s="20">
        <v>84.0</v>
      </c>
      <c r="AB15" s="21" t="s">
        <v>266</v>
      </c>
      <c r="AC15" s="20">
        <v>5.0</v>
      </c>
      <c r="AD15" s="20">
        <v>64.0</v>
      </c>
      <c r="AE15" s="21" t="s">
        <v>267</v>
      </c>
      <c r="AF15" s="21" t="s">
        <v>268</v>
      </c>
      <c r="AG15" s="20">
        <v>54.0</v>
      </c>
      <c r="AH15" s="21" t="s">
        <v>269</v>
      </c>
      <c r="AI15" s="21" t="s">
        <v>270</v>
      </c>
      <c r="AJ15" s="20">
        <v>94.0</v>
      </c>
      <c r="AK15" s="33" t="s">
        <v>271</v>
      </c>
      <c r="AL15" s="21" t="s">
        <v>272</v>
      </c>
      <c r="AM15" s="23">
        <v>14.0</v>
      </c>
      <c r="AN15" s="11"/>
      <c r="AO15" s="11"/>
      <c r="AP15" s="11"/>
      <c r="AQ15" s="11"/>
      <c r="AR15" s="11"/>
      <c r="AS15" s="11"/>
    </row>
    <row r="16">
      <c r="A16" s="12">
        <v>46300.14076703704</v>
      </c>
      <c r="B16" s="13">
        <v>6.70612127E8</v>
      </c>
      <c r="C16" s="14"/>
      <c r="D16" s="14" t="s">
        <v>50</v>
      </c>
      <c r="E16" s="14" t="s">
        <v>10</v>
      </c>
      <c r="F16" s="13">
        <v>97.0</v>
      </c>
      <c r="G16" s="14" t="s">
        <v>121</v>
      </c>
      <c r="H16" s="14" t="s">
        <v>12</v>
      </c>
      <c r="I16" s="13">
        <v>67.0</v>
      </c>
      <c r="J16" s="14" t="s">
        <v>183</v>
      </c>
      <c r="K16" s="14" t="s">
        <v>10</v>
      </c>
      <c r="L16" s="13">
        <v>57.0</v>
      </c>
      <c r="M16" s="14" t="s">
        <v>259</v>
      </c>
      <c r="N16" s="14" t="s">
        <v>56</v>
      </c>
      <c r="O16" s="13">
        <v>77.0</v>
      </c>
      <c r="P16" s="14" t="s">
        <v>273</v>
      </c>
      <c r="Q16" s="14" t="s">
        <v>17</v>
      </c>
      <c r="R16" s="13">
        <v>87.0</v>
      </c>
      <c r="S16" s="14" t="s">
        <v>274</v>
      </c>
      <c r="T16" s="14" t="s">
        <v>56</v>
      </c>
      <c r="U16" s="13">
        <v>97.0</v>
      </c>
      <c r="V16" s="14" t="s">
        <v>275</v>
      </c>
      <c r="W16" s="13">
        <v>48.0</v>
      </c>
      <c r="X16" s="13">
        <v>57.0</v>
      </c>
      <c r="Y16" s="14" t="s">
        <v>276</v>
      </c>
      <c r="Z16" s="13">
        <v>7.0</v>
      </c>
      <c r="AA16" s="13">
        <v>67.0</v>
      </c>
      <c r="AB16" s="14" t="s">
        <v>277</v>
      </c>
      <c r="AC16" s="13">
        <v>90.0</v>
      </c>
      <c r="AD16" s="13">
        <v>87.0</v>
      </c>
      <c r="AE16" s="14" t="s">
        <v>278</v>
      </c>
      <c r="AF16" s="14" t="s">
        <v>279</v>
      </c>
      <c r="AG16" s="13">
        <v>77.0</v>
      </c>
      <c r="AH16" s="14" t="s">
        <v>280</v>
      </c>
      <c r="AI16" s="14" t="s">
        <v>281</v>
      </c>
      <c r="AJ16" s="13">
        <v>57.0</v>
      </c>
      <c r="AK16" s="14" t="s">
        <v>282</v>
      </c>
      <c r="AL16" s="14" t="s">
        <v>283</v>
      </c>
      <c r="AM16" s="18">
        <v>97.0</v>
      </c>
      <c r="AN16" s="11"/>
      <c r="AO16" s="11"/>
      <c r="AP16" s="11"/>
      <c r="AQ16" s="11"/>
      <c r="AR16" s="11"/>
      <c r="AS16" s="11"/>
    </row>
    <row r="17">
      <c r="A17" s="34">
        <v>46300.15789991898</v>
      </c>
      <c r="B17" s="35">
        <v>6.7061068E8</v>
      </c>
      <c r="C17" s="36"/>
      <c r="D17" s="36" t="s">
        <v>51</v>
      </c>
      <c r="E17" s="36" t="s">
        <v>12</v>
      </c>
      <c r="F17" s="37" t="s">
        <v>285</v>
      </c>
      <c r="G17" s="36" t="s">
        <v>126</v>
      </c>
      <c r="H17" s="36" t="s">
        <v>10</v>
      </c>
      <c r="I17" s="37" t="s">
        <v>286</v>
      </c>
      <c r="J17" s="36" t="s">
        <v>191</v>
      </c>
      <c r="K17" s="36" t="s">
        <v>10</v>
      </c>
      <c r="L17" s="37" t="s">
        <v>287</v>
      </c>
      <c r="M17" s="36" t="s">
        <v>288</v>
      </c>
      <c r="N17" s="36" t="s">
        <v>35</v>
      </c>
      <c r="O17" s="37" t="s">
        <v>287</v>
      </c>
      <c r="P17" s="36" t="s">
        <v>289</v>
      </c>
      <c r="Q17" s="36" t="s">
        <v>56</v>
      </c>
      <c r="R17" s="37" t="s">
        <v>290</v>
      </c>
      <c r="S17" s="36" t="s">
        <v>291</v>
      </c>
      <c r="T17" s="36" t="s">
        <v>17</v>
      </c>
      <c r="U17" s="37" t="s">
        <v>293</v>
      </c>
      <c r="V17" s="36" t="s">
        <v>294</v>
      </c>
      <c r="W17" s="35">
        <v>18.0</v>
      </c>
      <c r="X17" s="37" t="s">
        <v>295</v>
      </c>
      <c r="Y17" s="36" t="s">
        <v>296</v>
      </c>
      <c r="Z17" s="35">
        <v>4.8</v>
      </c>
      <c r="AA17" s="37" t="s">
        <v>295</v>
      </c>
      <c r="AB17" s="36" t="s">
        <v>297</v>
      </c>
      <c r="AC17" s="35">
        <v>312.0</v>
      </c>
      <c r="AD17" s="37" t="s">
        <v>290</v>
      </c>
      <c r="AE17" s="36" t="s">
        <v>298</v>
      </c>
      <c r="AF17" s="36" t="s">
        <v>300</v>
      </c>
      <c r="AG17" s="37" t="s">
        <v>301</v>
      </c>
      <c r="AH17" s="36" t="s">
        <v>302</v>
      </c>
      <c r="AI17" s="36" t="s">
        <v>303</v>
      </c>
      <c r="AJ17" s="37" t="s">
        <v>304</v>
      </c>
      <c r="AK17" s="36" t="s">
        <v>305</v>
      </c>
      <c r="AL17" s="36" t="s">
        <v>306</v>
      </c>
      <c r="AM17" s="38" t="s">
        <v>307</v>
      </c>
      <c r="AN17" s="11"/>
      <c r="AO17" s="11"/>
      <c r="AP17" s="11"/>
      <c r="AQ17" s="11"/>
      <c r="AR17" s="11"/>
      <c r="AS17" s="11"/>
    </row>
    <row r="18">
      <c r="A18" s="12">
        <v>46300.565940381945</v>
      </c>
      <c r="B18" s="13">
        <v>6.70610741E8</v>
      </c>
      <c r="C18" s="14"/>
      <c r="D18" s="14" t="s">
        <v>308</v>
      </c>
      <c r="E18" s="14" t="s">
        <v>12</v>
      </c>
      <c r="F18" s="13">
        <v>21.0</v>
      </c>
      <c r="G18" s="14" t="s">
        <v>309</v>
      </c>
      <c r="H18" s="14" t="s">
        <v>12</v>
      </c>
      <c r="I18" s="13">
        <v>61.0</v>
      </c>
      <c r="J18" s="14" t="s">
        <v>311</v>
      </c>
      <c r="K18" s="14" t="s">
        <v>12</v>
      </c>
      <c r="L18" s="13">
        <v>81.0</v>
      </c>
      <c r="M18" s="14" t="s">
        <v>312</v>
      </c>
      <c r="N18" s="14" t="s">
        <v>56</v>
      </c>
      <c r="O18" s="13">
        <v>1.0</v>
      </c>
      <c r="P18" s="14" t="s">
        <v>313</v>
      </c>
      <c r="Q18" s="14" t="s">
        <v>17</v>
      </c>
      <c r="R18" s="13">
        <v>71.0</v>
      </c>
      <c r="S18" s="39" t="s">
        <v>314</v>
      </c>
      <c r="T18" s="14" t="s">
        <v>17</v>
      </c>
      <c r="U18" s="13">
        <v>91.0</v>
      </c>
      <c r="V18" s="14" t="s">
        <v>315</v>
      </c>
      <c r="W18" s="13">
        <v>3000.0</v>
      </c>
      <c r="X18" s="13">
        <v>11.0</v>
      </c>
      <c r="Y18" s="14" t="s">
        <v>316</v>
      </c>
      <c r="Z18" s="13">
        <v>55.0</v>
      </c>
      <c r="AA18" s="13">
        <v>31.0</v>
      </c>
      <c r="AB18" s="14" t="s">
        <v>317</v>
      </c>
      <c r="AC18" s="13">
        <v>217.4</v>
      </c>
      <c r="AD18" s="13">
        <v>51.0</v>
      </c>
      <c r="AE18" s="14" t="s">
        <v>318</v>
      </c>
      <c r="AF18" s="14" t="s">
        <v>319</v>
      </c>
      <c r="AG18" s="13">
        <v>41.0</v>
      </c>
      <c r="AH18" s="14" t="s">
        <v>320</v>
      </c>
      <c r="AI18" s="14" t="s">
        <v>321</v>
      </c>
      <c r="AJ18" s="13">
        <v>71.0</v>
      </c>
      <c r="AK18" s="14" t="s">
        <v>322</v>
      </c>
      <c r="AL18" s="14" t="s">
        <v>323</v>
      </c>
      <c r="AM18" s="18">
        <v>91.0</v>
      </c>
      <c r="AN18" s="11"/>
      <c r="AO18" s="11"/>
      <c r="AP18" s="11"/>
      <c r="AQ18" s="11"/>
      <c r="AR18" s="11"/>
      <c r="AS18" s="11"/>
    </row>
    <row r="19">
      <c r="A19" s="19">
        <v>46300.64481803241</v>
      </c>
      <c r="B19" s="20">
        <v>6.6061076E8</v>
      </c>
      <c r="C19" s="21"/>
      <c r="D19" s="21" t="s">
        <v>325</v>
      </c>
      <c r="E19" s="21" t="s">
        <v>12</v>
      </c>
      <c r="F19" s="22" t="s">
        <v>285</v>
      </c>
      <c r="G19" s="21" t="s">
        <v>327</v>
      </c>
      <c r="H19" s="21" t="s">
        <v>10</v>
      </c>
      <c r="I19" s="22" t="s">
        <v>286</v>
      </c>
      <c r="J19" s="21" t="s">
        <v>328</v>
      </c>
      <c r="K19" s="21" t="s">
        <v>12</v>
      </c>
      <c r="L19" s="22" t="s">
        <v>287</v>
      </c>
      <c r="M19" s="21" t="s">
        <v>329</v>
      </c>
      <c r="N19" s="21" t="s">
        <v>56</v>
      </c>
      <c r="O19" s="22" t="s">
        <v>290</v>
      </c>
      <c r="P19" s="21" t="s">
        <v>330</v>
      </c>
      <c r="Q19" s="21" t="s">
        <v>17</v>
      </c>
      <c r="R19" s="22" t="s">
        <v>304</v>
      </c>
      <c r="S19" s="21" t="s">
        <v>331</v>
      </c>
      <c r="T19" s="21" t="s">
        <v>8</v>
      </c>
      <c r="U19" s="22" t="s">
        <v>293</v>
      </c>
      <c r="V19" s="21" t="s">
        <v>332</v>
      </c>
      <c r="W19" s="20">
        <v>23.8</v>
      </c>
      <c r="X19" s="22" t="s">
        <v>301</v>
      </c>
      <c r="Y19" s="21" t="s">
        <v>333</v>
      </c>
      <c r="Z19" s="20">
        <v>250.0</v>
      </c>
      <c r="AA19" s="22" t="s">
        <v>307</v>
      </c>
      <c r="AB19" s="21" t="s">
        <v>334</v>
      </c>
      <c r="AC19" s="20">
        <v>237.0</v>
      </c>
      <c r="AD19" s="20">
        <v>100.0</v>
      </c>
      <c r="AE19" s="21" t="s">
        <v>335</v>
      </c>
      <c r="AF19" s="21" t="s">
        <v>336</v>
      </c>
      <c r="AG19" s="22" t="s">
        <v>295</v>
      </c>
      <c r="AH19" s="21" t="s">
        <v>337</v>
      </c>
      <c r="AI19" s="21" t="s">
        <v>338</v>
      </c>
      <c r="AJ19" s="22" t="s">
        <v>304</v>
      </c>
      <c r="AK19" s="21" t="s">
        <v>339</v>
      </c>
      <c r="AL19" s="21" t="s">
        <v>340</v>
      </c>
      <c r="AM19" s="31" t="s">
        <v>285</v>
      </c>
      <c r="AN19" s="11"/>
      <c r="AO19" s="11"/>
      <c r="AP19" s="11"/>
      <c r="AQ19" s="11"/>
      <c r="AR19" s="11"/>
      <c r="AS19" s="11"/>
    </row>
    <row r="20">
      <c r="A20" s="12">
        <v>46300.66164131944</v>
      </c>
      <c r="B20" s="13">
        <v>6.70610733E8</v>
      </c>
      <c r="C20" s="14"/>
      <c r="D20" s="14" t="s">
        <v>341</v>
      </c>
      <c r="E20" s="14" t="s">
        <v>10</v>
      </c>
      <c r="F20" s="13">
        <v>3.0</v>
      </c>
      <c r="G20" s="14" t="s">
        <v>342</v>
      </c>
      <c r="H20" s="14" t="s">
        <v>12</v>
      </c>
      <c r="I20" s="13">
        <v>3.0</v>
      </c>
      <c r="J20" s="14" t="s">
        <v>343</v>
      </c>
      <c r="K20" s="14" t="s">
        <v>10</v>
      </c>
      <c r="L20" s="13">
        <v>13.0</v>
      </c>
      <c r="M20" s="14" t="s">
        <v>344</v>
      </c>
      <c r="N20" s="14" t="s">
        <v>35</v>
      </c>
      <c r="O20" s="13">
        <v>23.0</v>
      </c>
      <c r="P20" s="14" t="s">
        <v>345</v>
      </c>
      <c r="Q20" s="14" t="s">
        <v>147</v>
      </c>
      <c r="R20" s="13">
        <v>23.0</v>
      </c>
      <c r="S20" s="14" t="s">
        <v>346</v>
      </c>
      <c r="T20" s="14" t="s">
        <v>56</v>
      </c>
      <c r="U20" s="13">
        <v>33.0</v>
      </c>
      <c r="V20" s="14" t="s">
        <v>347</v>
      </c>
      <c r="W20" s="13">
        <v>50.0</v>
      </c>
      <c r="X20" s="13">
        <v>43.0</v>
      </c>
      <c r="Y20" s="14" t="s">
        <v>349</v>
      </c>
      <c r="Z20" s="13">
        <v>120.0</v>
      </c>
      <c r="AA20" s="13">
        <v>53.0</v>
      </c>
      <c r="AB20" s="14" t="s">
        <v>350</v>
      </c>
      <c r="AC20" s="13">
        <v>1000.0</v>
      </c>
      <c r="AD20" s="13">
        <v>53.0</v>
      </c>
      <c r="AE20" s="14" t="s">
        <v>351</v>
      </c>
      <c r="AF20" s="14" t="s">
        <v>352</v>
      </c>
      <c r="AG20" s="13">
        <v>63.0</v>
      </c>
      <c r="AH20" s="14" t="s">
        <v>353</v>
      </c>
      <c r="AI20" s="14" t="s">
        <v>354</v>
      </c>
      <c r="AJ20" s="13">
        <v>73.0</v>
      </c>
      <c r="AK20" s="14" t="s">
        <v>355</v>
      </c>
      <c r="AL20" s="14" t="s">
        <v>356</v>
      </c>
      <c r="AM20" s="18">
        <v>83.0</v>
      </c>
      <c r="AN20" s="11"/>
      <c r="AO20" s="11"/>
      <c r="AP20" s="11"/>
      <c r="AQ20" s="11"/>
      <c r="AR20" s="11"/>
      <c r="AS20" s="11"/>
    </row>
    <row r="21">
      <c r="A21" s="19">
        <v>46300.72238690972</v>
      </c>
      <c r="B21" s="20">
        <v>6.7061071E8</v>
      </c>
      <c r="C21" s="21"/>
      <c r="D21" s="21" t="s">
        <v>357</v>
      </c>
      <c r="E21" s="21" t="s">
        <v>10</v>
      </c>
      <c r="F21" s="20">
        <v>10.0</v>
      </c>
      <c r="G21" s="21" t="s">
        <v>359</v>
      </c>
      <c r="H21" s="21" t="s">
        <v>10</v>
      </c>
      <c r="I21" s="20">
        <v>10.0</v>
      </c>
      <c r="J21" s="40"/>
      <c r="K21" s="40"/>
      <c r="L21" s="40"/>
      <c r="M21" s="21" t="s">
        <v>360</v>
      </c>
      <c r="N21" s="21" t="s">
        <v>8</v>
      </c>
      <c r="O21" s="20">
        <v>20.0</v>
      </c>
      <c r="P21" s="21" t="s">
        <v>361</v>
      </c>
      <c r="Q21" s="21" t="s">
        <v>8</v>
      </c>
      <c r="R21" s="20">
        <v>30.0</v>
      </c>
      <c r="S21" s="40"/>
      <c r="T21" s="40"/>
      <c r="U21" s="40"/>
      <c r="V21" s="21" t="s">
        <v>362</v>
      </c>
      <c r="W21" s="20">
        <v>4860.0</v>
      </c>
      <c r="X21" s="20">
        <v>50.0</v>
      </c>
      <c r="Y21" s="21" t="s">
        <v>363</v>
      </c>
      <c r="Z21" s="20">
        <v>48.0</v>
      </c>
      <c r="AA21" s="20">
        <v>60.0</v>
      </c>
      <c r="AB21" s="40"/>
      <c r="AC21" s="40"/>
      <c r="AD21" s="40"/>
      <c r="AE21" s="21" t="s">
        <v>365</v>
      </c>
      <c r="AF21" s="22" t="s">
        <v>366</v>
      </c>
      <c r="AG21" s="20">
        <v>70.0</v>
      </c>
      <c r="AH21" s="21" t="s">
        <v>367</v>
      </c>
      <c r="AI21" s="21" t="s">
        <v>368</v>
      </c>
      <c r="AJ21" s="20">
        <v>80.0</v>
      </c>
      <c r="AK21" s="40"/>
      <c r="AL21" s="40"/>
      <c r="AM21" s="41"/>
      <c r="AN21" s="11"/>
      <c r="AO21" s="11"/>
      <c r="AP21" s="11"/>
      <c r="AQ21" s="11"/>
      <c r="AR21" s="11"/>
      <c r="AS21" s="11"/>
    </row>
    <row r="22">
      <c r="A22" s="12">
        <v>46300.75724129629</v>
      </c>
      <c r="B22" s="13">
        <v>6.70610798E8</v>
      </c>
      <c r="C22" s="14"/>
      <c r="D22" s="14" t="s">
        <v>369</v>
      </c>
      <c r="E22" s="14" t="s">
        <v>10</v>
      </c>
      <c r="F22" s="13">
        <v>88.0</v>
      </c>
      <c r="G22" s="14" t="s">
        <v>370</v>
      </c>
      <c r="H22" s="14" t="s">
        <v>12</v>
      </c>
      <c r="I22" s="13">
        <v>98.0</v>
      </c>
      <c r="J22" s="14" t="s">
        <v>371</v>
      </c>
      <c r="K22" s="14" t="s">
        <v>10</v>
      </c>
      <c r="L22" s="13">
        <v>78.0</v>
      </c>
      <c r="M22" s="14" t="s">
        <v>372</v>
      </c>
      <c r="N22" s="14" t="s">
        <v>17</v>
      </c>
      <c r="O22" s="13">
        <v>28.0</v>
      </c>
      <c r="P22" s="14" t="s">
        <v>373</v>
      </c>
      <c r="Q22" s="14" t="s">
        <v>8</v>
      </c>
      <c r="R22" s="13">
        <v>48.0</v>
      </c>
      <c r="S22" s="14" t="s">
        <v>374</v>
      </c>
      <c r="T22" s="14" t="s">
        <v>8</v>
      </c>
      <c r="U22" s="13">
        <v>98.0</v>
      </c>
      <c r="V22" s="14" t="s">
        <v>375</v>
      </c>
      <c r="W22" s="13">
        <v>1188.0</v>
      </c>
      <c r="X22" s="13">
        <v>88.0</v>
      </c>
      <c r="Y22" s="14" t="s">
        <v>376</v>
      </c>
      <c r="Z22" s="13">
        <v>200.0</v>
      </c>
      <c r="AA22" s="13">
        <v>78.0</v>
      </c>
      <c r="AB22" s="14" t="s">
        <v>377</v>
      </c>
      <c r="AC22" s="13">
        <v>3.3</v>
      </c>
      <c r="AD22" s="13">
        <v>88.0</v>
      </c>
      <c r="AE22" s="14" t="s">
        <v>379</v>
      </c>
      <c r="AF22" s="15" t="s">
        <v>380</v>
      </c>
      <c r="AG22" s="13">
        <v>18.0</v>
      </c>
      <c r="AH22" s="26" t="s">
        <v>381</v>
      </c>
      <c r="AI22" s="14" t="s">
        <v>382</v>
      </c>
      <c r="AJ22" s="13">
        <v>28.0</v>
      </c>
      <c r="AK22" s="26" t="s">
        <v>383</v>
      </c>
      <c r="AL22" s="14" t="s">
        <v>384</v>
      </c>
      <c r="AM22" s="18">
        <v>8.0</v>
      </c>
      <c r="AN22" s="11"/>
      <c r="AO22" s="11"/>
      <c r="AP22" s="11"/>
      <c r="AQ22" s="11"/>
      <c r="AR22" s="11"/>
      <c r="AS22" s="11"/>
    </row>
    <row r="23">
      <c r="A23" s="19">
        <v>46300.77466855324</v>
      </c>
      <c r="B23" s="20">
        <v>6.70610674E8</v>
      </c>
      <c r="C23" s="21"/>
      <c r="D23" s="21" t="s">
        <v>385</v>
      </c>
      <c r="E23" s="21" t="s">
        <v>12</v>
      </c>
      <c r="F23" s="22" t="s">
        <v>386</v>
      </c>
      <c r="G23" s="21" t="s">
        <v>387</v>
      </c>
      <c r="H23" s="21" t="s">
        <v>12</v>
      </c>
      <c r="I23" s="22" t="s">
        <v>37</v>
      </c>
      <c r="J23" s="40"/>
      <c r="K23" s="40"/>
      <c r="L23" s="40"/>
      <c r="M23" s="21" t="s">
        <v>389</v>
      </c>
      <c r="N23" s="21" t="s">
        <v>8</v>
      </c>
      <c r="O23" s="22" t="s">
        <v>390</v>
      </c>
      <c r="P23" s="21" t="s">
        <v>391</v>
      </c>
      <c r="Q23" s="21" t="s">
        <v>56</v>
      </c>
      <c r="R23" s="22" t="s">
        <v>392</v>
      </c>
      <c r="S23" s="40"/>
      <c r="T23" s="40"/>
      <c r="U23" s="40"/>
      <c r="V23" s="21" t="s">
        <v>393</v>
      </c>
      <c r="W23" s="20">
        <v>2.0</v>
      </c>
      <c r="X23" s="22" t="s">
        <v>394</v>
      </c>
      <c r="Y23" s="21" t="s">
        <v>395</v>
      </c>
      <c r="Z23" s="20">
        <v>2388.0</v>
      </c>
      <c r="AA23" s="22" t="s">
        <v>396</v>
      </c>
      <c r="AB23" s="40"/>
      <c r="AC23" s="40"/>
      <c r="AD23" s="40"/>
      <c r="AE23" s="21" t="s">
        <v>397</v>
      </c>
      <c r="AF23" s="21" t="s">
        <v>398</v>
      </c>
      <c r="AG23" s="22" t="s">
        <v>399</v>
      </c>
      <c r="AH23" s="21" t="s">
        <v>400</v>
      </c>
      <c r="AI23" s="21" t="s">
        <v>401</v>
      </c>
      <c r="AJ23" s="22" t="s">
        <v>402</v>
      </c>
      <c r="AK23" s="40"/>
      <c r="AL23" s="40"/>
      <c r="AM23" s="41"/>
      <c r="AN23" s="11"/>
      <c r="AO23" s="11"/>
      <c r="AP23" s="11"/>
      <c r="AQ23" s="11"/>
      <c r="AR23" s="11"/>
      <c r="AS23" s="11"/>
    </row>
    <row r="24">
      <c r="A24" s="12">
        <v>46300.80337172454</v>
      </c>
      <c r="B24" s="13">
        <v>6.70610739E8</v>
      </c>
      <c r="C24" s="14"/>
      <c r="D24" s="14" t="s">
        <v>403</v>
      </c>
      <c r="E24" s="14" t="s">
        <v>12</v>
      </c>
      <c r="F24" s="13">
        <v>9.0</v>
      </c>
      <c r="G24" s="14" t="s">
        <v>404</v>
      </c>
      <c r="H24" s="14" t="s">
        <v>10</v>
      </c>
      <c r="I24" s="13">
        <v>19.0</v>
      </c>
      <c r="J24" s="29"/>
      <c r="K24" s="29"/>
      <c r="L24" s="29"/>
      <c r="M24" s="14" t="s">
        <v>405</v>
      </c>
      <c r="N24" s="14" t="s">
        <v>77</v>
      </c>
      <c r="O24" s="13">
        <v>29.0</v>
      </c>
      <c r="P24" s="14" t="s">
        <v>406</v>
      </c>
      <c r="Q24" s="14" t="s">
        <v>56</v>
      </c>
      <c r="R24" s="13">
        <v>39.0</v>
      </c>
      <c r="S24" s="29"/>
      <c r="T24" s="29"/>
      <c r="U24" s="29"/>
      <c r="V24" s="14" t="s">
        <v>407</v>
      </c>
      <c r="W24" s="13">
        <v>0.67</v>
      </c>
      <c r="X24" s="13">
        <v>39.0</v>
      </c>
      <c r="Y24" s="14" t="s">
        <v>408</v>
      </c>
      <c r="Z24" s="13">
        <v>0.99</v>
      </c>
      <c r="AA24" s="13">
        <v>49.0</v>
      </c>
      <c r="AB24" s="29"/>
      <c r="AC24" s="29"/>
      <c r="AD24" s="29"/>
      <c r="AE24" s="26" t="s">
        <v>409</v>
      </c>
      <c r="AF24" s="14" t="s">
        <v>410</v>
      </c>
      <c r="AG24" s="13">
        <v>59.0</v>
      </c>
      <c r="AH24" s="26" t="s">
        <v>411</v>
      </c>
      <c r="AI24" s="14" t="s">
        <v>412</v>
      </c>
      <c r="AJ24" s="13">
        <v>69.0</v>
      </c>
      <c r="AK24" s="29"/>
      <c r="AL24" s="29"/>
      <c r="AM24" s="30"/>
      <c r="AN24" s="11"/>
      <c r="AO24" s="11"/>
      <c r="AP24" s="11"/>
      <c r="AQ24" s="11"/>
      <c r="AR24" s="11"/>
      <c r="AS24" s="11"/>
    </row>
    <row r="25">
      <c r="A25" s="19">
        <v>46300.893504872685</v>
      </c>
      <c r="B25" s="20">
        <v>6.60610773E8</v>
      </c>
      <c r="C25" s="21"/>
      <c r="D25" s="21" t="s">
        <v>413</v>
      </c>
      <c r="E25" s="21" t="s">
        <v>12</v>
      </c>
      <c r="F25" s="22" t="s">
        <v>414</v>
      </c>
      <c r="G25" s="21" t="s">
        <v>415</v>
      </c>
      <c r="H25" s="21" t="s">
        <v>12</v>
      </c>
      <c r="I25" s="22" t="s">
        <v>416</v>
      </c>
      <c r="J25" s="21" t="s">
        <v>417</v>
      </c>
      <c r="K25" s="21" t="s">
        <v>10</v>
      </c>
      <c r="L25" s="22" t="s">
        <v>418</v>
      </c>
      <c r="M25" s="21" t="s">
        <v>419</v>
      </c>
      <c r="N25" s="21" t="s">
        <v>56</v>
      </c>
      <c r="O25" s="22" t="s">
        <v>420</v>
      </c>
      <c r="P25" s="21" t="s">
        <v>421</v>
      </c>
      <c r="Q25" s="21" t="s">
        <v>35</v>
      </c>
      <c r="R25" s="22" t="s">
        <v>422</v>
      </c>
      <c r="S25" s="21" t="s">
        <v>423</v>
      </c>
      <c r="T25" s="21" t="s">
        <v>56</v>
      </c>
      <c r="U25" s="22" t="s">
        <v>414</v>
      </c>
      <c r="V25" s="21" t="s">
        <v>424</v>
      </c>
      <c r="W25" s="20">
        <v>12.0</v>
      </c>
      <c r="X25" s="22" t="s">
        <v>418</v>
      </c>
      <c r="Y25" s="21" t="s">
        <v>425</v>
      </c>
      <c r="Z25" s="20">
        <v>41.0</v>
      </c>
      <c r="AA25" s="22" t="s">
        <v>416</v>
      </c>
      <c r="AB25" s="21" t="s">
        <v>426</v>
      </c>
      <c r="AC25" s="20">
        <v>5.0</v>
      </c>
      <c r="AD25" s="22" t="s">
        <v>420</v>
      </c>
      <c r="AE25" s="21" t="s">
        <v>427</v>
      </c>
      <c r="AF25" s="21" t="s">
        <v>428</v>
      </c>
      <c r="AG25" s="22" t="s">
        <v>414</v>
      </c>
      <c r="AH25" s="21" t="s">
        <v>429</v>
      </c>
      <c r="AI25" s="21" t="s">
        <v>430</v>
      </c>
      <c r="AJ25" s="22" t="s">
        <v>420</v>
      </c>
      <c r="AK25" s="21" t="s">
        <v>431</v>
      </c>
      <c r="AL25" s="21" t="s">
        <v>432</v>
      </c>
      <c r="AM25" s="31" t="s">
        <v>416</v>
      </c>
      <c r="AN25" s="11"/>
      <c r="AO25" s="11"/>
      <c r="AP25" s="11"/>
      <c r="AQ25" s="11"/>
      <c r="AR25" s="11"/>
      <c r="AS25" s="11"/>
    </row>
    <row r="26">
      <c r="A26" s="12">
        <v>46300.91311892361</v>
      </c>
      <c r="B26" s="13">
        <v>6.60610793E8</v>
      </c>
      <c r="C26" s="14"/>
      <c r="D26" s="14" t="s">
        <v>433</v>
      </c>
      <c r="E26" s="14" t="s">
        <v>12</v>
      </c>
      <c r="F26" s="15" t="s">
        <v>416</v>
      </c>
      <c r="G26" s="14" t="s">
        <v>434</v>
      </c>
      <c r="H26" s="14" t="s">
        <v>12</v>
      </c>
      <c r="I26" s="15" t="s">
        <v>435</v>
      </c>
      <c r="J26" s="14" t="s">
        <v>436</v>
      </c>
      <c r="K26" s="14" t="s">
        <v>12</v>
      </c>
      <c r="L26" s="15" t="s">
        <v>418</v>
      </c>
      <c r="M26" s="14" t="s">
        <v>437</v>
      </c>
      <c r="N26" s="14" t="s">
        <v>8</v>
      </c>
      <c r="O26" s="15" t="s">
        <v>414</v>
      </c>
      <c r="P26" s="14" t="s">
        <v>438</v>
      </c>
      <c r="Q26" s="14" t="s">
        <v>8</v>
      </c>
      <c r="R26" s="15" t="s">
        <v>416</v>
      </c>
      <c r="S26" s="14" t="s">
        <v>439</v>
      </c>
      <c r="T26" s="14" t="s">
        <v>8</v>
      </c>
      <c r="U26" s="15" t="s">
        <v>440</v>
      </c>
      <c r="V26" s="14" t="s">
        <v>441</v>
      </c>
      <c r="W26" s="13">
        <v>1500.0</v>
      </c>
      <c r="X26" s="15" t="s">
        <v>414</v>
      </c>
      <c r="Y26" s="14" t="s">
        <v>442</v>
      </c>
      <c r="Z26" s="13">
        <v>10.0</v>
      </c>
      <c r="AA26" s="15" t="s">
        <v>422</v>
      </c>
      <c r="AB26" s="14" t="s">
        <v>443</v>
      </c>
      <c r="AC26" s="13">
        <v>40.0</v>
      </c>
      <c r="AD26" s="15" t="s">
        <v>435</v>
      </c>
      <c r="AE26" s="14" t="s">
        <v>444</v>
      </c>
      <c r="AF26" s="14" t="s">
        <v>445</v>
      </c>
      <c r="AG26" s="15" t="s">
        <v>446</v>
      </c>
      <c r="AH26" s="14" t="s">
        <v>447</v>
      </c>
      <c r="AI26" s="14" t="s">
        <v>448</v>
      </c>
      <c r="AJ26" s="15" t="s">
        <v>420</v>
      </c>
      <c r="AK26" s="14" t="s">
        <v>449</v>
      </c>
      <c r="AL26" s="14" t="s">
        <v>450</v>
      </c>
      <c r="AM26" s="28" t="s">
        <v>440</v>
      </c>
      <c r="AN26" s="11"/>
      <c r="AO26" s="11"/>
      <c r="AP26" s="11"/>
      <c r="AQ26" s="11"/>
      <c r="AR26" s="11"/>
      <c r="AS26" s="11"/>
    </row>
    <row r="27">
      <c r="A27" s="19">
        <v>46300.917455567134</v>
      </c>
      <c r="B27" s="20">
        <v>6.60610757E8</v>
      </c>
      <c r="C27" s="21"/>
      <c r="D27" s="21" t="s">
        <v>451</v>
      </c>
      <c r="E27" s="21" t="s">
        <v>10</v>
      </c>
      <c r="F27" s="22" t="s">
        <v>130</v>
      </c>
      <c r="G27" s="21" t="s">
        <v>452</v>
      </c>
      <c r="H27" s="21" t="s">
        <v>10</v>
      </c>
      <c r="I27" s="22" t="s">
        <v>453</v>
      </c>
      <c r="J27" s="21" t="s">
        <v>454</v>
      </c>
      <c r="K27" s="21" t="s">
        <v>12</v>
      </c>
      <c r="L27" s="22" t="s">
        <v>122</v>
      </c>
      <c r="M27" s="21" t="s">
        <v>455</v>
      </c>
      <c r="N27" s="21" t="s">
        <v>56</v>
      </c>
      <c r="O27" s="22" t="s">
        <v>111</v>
      </c>
      <c r="P27" s="21" t="s">
        <v>456</v>
      </c>
      <c r="Q27" s="21" t="s">
        <v>56</v>
      </c>
      <c r="R27" s="22" t="s">
        <v>238</v>
      </c>
      <c r="S27" s="21" t="s">
        <v>457</v>
      </c>
      <c r="T27" s="21" t="s">
        <v>17</v>
      </c>
      <c r="U27" s="22" t="s">
        <v>122</v>
      </c>
      <c r="V27" s="21" t="s">
        <v>458</v>
      </c>
      <c r="W27" s="20">
        <v>3600.0</v>
      </c>
      <c r="X27" s="22" t="s">
        <v>117</v>
      </c>
      <c r="Y27" s="21" t="s">
        <v>459</v>
      </c>
      <c r="Z27" s="20">
        <v>90.0</v>
      </c>
      <c r="AA27" s="22" t="s">
        <v>453</v>
      </c>
      <c r="AB27" s="21" t="s">
        <v>460</v>
      </c>
      <c r="AC27" s="20">
        <v>38.0</v>
      </c>
      <c r="AD27" s="22" t="s">
        <v>106</v>
      </c>
      <c r="AE27" s="21" t="s">
        <v>461</v>
      </c>
      <c r="AF27" s="21" t="s">
        <v>462</v>
      </c>
      <c r="AG27" s="22" t="s">
        <v>117</v>
      </c>
      <c r="AH27" s="21" t="s">
        <v>463</v>
      </c>
      <c r="AI27" s="21" t="s">
        <v>464</v>
      </c>
      <c r="AJ27" s="22" t="s">
        <v>238</v>
      </c>
      <c r="AK27" s="21" t="s">
        <v>465</v>
      </c>
      <c r="AL27" s="21" t="s">
        <v>466</v>
      </c>
      <c r="AM27" s="31" t="s">
        <v>119</v>
      </c>
      <c r="AN27" s="11"/>
      <c r="AO27" s="11"/>
      <c r="AP27" s="11"/>
      <c r="AQ27" s="11"/>
      <c r="AR27" s="11"/>
      <c r="AS27" s="11"/>
    </row>
    <row r="28">
      <c r="A28" s="12">
        <v>46300.925190243055</v>
      </c>
      <c r="B28" s="13">
        <v>6.70610725E8</v>
      </c>
      <c r="C28" s="14"/>
      <c r="D28" s="14" t="s">
        <v>467</v>
      </c>
      <c r="E28" s="14" t="s">
        <v>12</v>
      </c>
      <c r="F28" s="13">
        <v>85.0</v>
      </c>
      <c r="G28" s="14" t="s">
        <v>468</v>
      </c>
      <c r="H28" s="14" t="s">
        <v>10</v>
      </c>
      <c r="I28" s="13">
        <v>75.0</v>
      </c>
      <c r="J28" s="29"/>
      <c r="K28" s="29"/>
      <c r="L28" s="29"/>
      <c r="M28" s="14" t="s">
        <v>469</v>
      </c>
      <c r="N28" s="14" t="s">
        <v>147</v>
      </c>
      <c r="O28" s="13">
        <v>35.0</v>
      </c>
      <c r="P28" s="14" t="s">
        <v>470</v>
      </c>
      <c r="Q28" s="14" t="s">
        <v>8</v>
      </c>
      <c r="R28" s="13">
        <v>55.0</v>
      </c>
      <c r="S28" s="29"/>
      <c r="T28" s="29"/>
      <c r="U28" s="29"/>
      <c r="V28" s="14" t="s">
        <v>471</v>
      </c>
      <c r="W28" s="13">
        <v>25.0</v>
      </c>
      <c r="X28" s="13">
        <v>5.0</v>
      </c>
      <c r="Y28" s="14" t="s">
        <v>473</v>
      </c>
      <c r="Z28" s="13">
        <v>30.0</v>
      </c>
      <c r="AA28" s="13">
        <v>85.0</v>
      </c>
      <c r="AB28" s="29"/>
      <c r="AC28" s="29"/>
      <c r="AD28" s="29"/>
      <c r="AE28" s="14" t="s">
        <v>474</v>
      </c>
      <c r="AF28" s="14" t="s">
        <v>475</v>
      </c>
      <c r="AG28" s="13">
        <v>75.0</v>
      </c>
      <c r="AH28" s="14" t="s">
        <v>476</v>
      </c>
      <c r="AI28" s="14" t="s">
        <v>477</v>
      </c>
      <c r="AJ28" s="13">
        <v>55.0</v>
      </c>
      <c r="AK28" s="29"/>
      <c r="AL28" s="29"/>
      <c r="AM28" s="30"/>
      <c r="AN28" s="11"/>
      <c r="AO28" s="11"/>
      <c r="AP28" s="11"/>
      <c r="AQ28" s="11"/>
      <c r="AR28" s="11"/>
      <c r="AS28" s="11"/>
    </row>
    <row r="29">
      <c r="A29" s="19">
        <v>46300.92960798611</v>
      </c>
      <c r="B29" s="20">
        <v>6.70610735E8</v>
      </c>
      <c r="C29" s="21"/>
      <c r="D29" s="21" t="s">
        <v>478</v>
      </c>
      <c r="E29" s="21" t="s">
        <v>10</v>
      </c>
      <c r="F29" s="20">
        <v>5.0</v>
      </c>
      <c r="G29" s="21" t="s">
        <v>479</v>
      </c>
      <c r="H29" s="21" t="s">
        <v>12</v>
      </c>
      <c r="I29" s="20">
        <v>5.0</v>
      </c>
      <c r="J29" s="21" t="s">
        <v>480</v>
      </c>
      <c r="K29" s="21" t="s">
        <v>10</v>
      </c>
      <c r="L29" s="20">
        <v>15.0</v>
      </c>
      <c r="M29" s="21" t="s">
        <v>481</v>
      </c>
      <c r="N29" s="21" t="s">
        <v>56</v>
      </c>
      <c r="O29" s="20">
        <v>25.0</v>
      </c>
      <c r="P29" s="21" t="s">
        <v>482</v>
      </c>
      <c r="Q29" s="21" t="s">
        <v>17</v>
      </c>
      <c r="R29" s="20">
        <v>25.0</v>
      </c>
      <c r="S29" s="21" t="s">
        <v>483</v>
      </c>
      <c r="T29" s="21" t="s">
        <v>17</v>
      </c>
      <c r="U29" s="20">
        <v>35.0</v>
      </c>
      <c r="V29" s="21" t="s">
        <v>484</v>
      </c>
      <c r="W29" s="20">
        <v>60.0</v>
      </c>
      <c r="X29" s="20">
        <v>45.0</v>
      </c>
      <c r="Y29" s="21" t="s">
        <v>485</v>
      </c>
      <c r="Z29" s="20">
        <v>1800.0</v>
      </c>
      <c r="AA29" s="20">
        <v>45.0</v>
      </c>
      <c r="AB29" s="21" t="s">
        <v>486</v>
      </c>
      <c r="AC29" s="20">
        <v>60.0</v>
      </c>
      <c r="AD29" s="20">
        <v>85.0</v>
      </c>
      <c r="AE29" s="21" t="s">
        <v>487</v>
      </c>
      <c r="AF29" s="21" t="s">
        <v>6</v>
      </c>
      <c r="AG29" s="20">
        <v>95.0</v>
      </c>
      <c r="AH29" s="21" t="s">
        <v>488</v>
      </c>
      <c r="AI29" s="21" t="s">
        <v>489</v>
      </c>
      <c r="AJ29" s="20">
        <v>95.0</v>
      </c>
      <c r="AK29" s="21" t="s">
        <v>490</v>
      </c>
      <c r="AL29" s="21" t="s">
        <v>491</v>
      </c>
      <c r="AM29" s="23">
        <v>95.0</v>
      </c>
      <c r="AN29" s="11"/>
      <c r="AO29" s="11"/>
      <c r="AP29" s="11"/>
      <c r="AQ29" s="11"/>
      <c r="AR29" s="11"/>
      <c r="AS29" s="11"/>
    </row>
    <row r="30">
      <c r="A30" s="12">
        <v>46300.93174962963</v>
      </c>
      <c r="B30" s="13">
        <v>6.60610744E8</v>
      </c>
      <c r="C30" s="14"/>
      <c r="D30" s="14" t="s">
        <v>492</v>
      </c>
      <c r="E30" s="14" t="s">
        <v>10</v>
      </c>
      <c r="F30" s="15" t="s">
        <v>394</v>
      </c>
      <c r="G30" s="14" t="s">
        <v>493</v>
      </c>
      <c r="H30" s="14" t="s">
        <v>12</v>
      </c>
      <c r="I30" s="15" t="s">
        <v>494</v>
      </c>
      <c r="J30" s="29"/>
      <c r="K30" s="29"/>
      <c r="L30" s="29"/>
      <c r="M30" s="14" t="s">
        <v>495</v>
      </c>
      <c r="N30" s="14" t="s">
        <v>17</v>
      </c>
      <c r="O30" s="15" t="s">
        <v>396</v>
      </c>
      <c r="P30" s="14" t="s">
        <v>496</v>
      </c>
      <c r="Q30" s="14" t="s">
        <v>8</v>
      </c>
      <c r="R30" s="15" t="s">
        <v>399</v>
      </c>
      <c r="S30" s="29"/>
      <c r="T30" s="29"/>
      <c r="U30" s="29"/>
      <c r="V30" s="14" t="s">
        <v>497</v>
      </c>
      <c r="W30" s="13">
        <v>9500.0</v>
      </c>
      <c r="X30" s="15" t="s">
        <v>37</v>
      </c>
      <c r="Y30" s="14" t="s">
        <v>498</v>
      </c>
      <c r="Z30" s="13">
        <v>320.0</v>
      </c>
      <c r="AA30" s="15" t="s">
        <v>390</v>
      </c>
      <c r="AB30" s="29"/>
      <c r="AC30" s="29"/>
      <c r="AD30" s="29"/>
      <c r="AE30" s="14" t="s">
        <v>499</v>
      </c>
      <c r="AF30" s="14" t="s">
        <v>500</v>
      </c>
      <c r="AG30" s="15" t="s">
        <v>501</v>
      </c>
      <c r="AH30" s="14" t="s">
        <v>502</v>
      </c>
      <c r="AI30" s="14" t="s">
        <v>503</v>
      </c>
      <c r="AJ30" s="15" t="s">
        <v>392</v>
      </c>
      <c r="AK30" s="29"/>
      <c r="AL30" s="29"/>
      <c r="AM30" s="30"/>
      <c r="AN30" s="11"/>
      <c r="AO30" s="11"/>
      <c r="AP30" s="11"/>
      <c r="AQ30" s="11"/>
      <c r="AR30" s="11"/>
      <c r="AS30" s="11"/>
    </row>
    <row r="31">
      <c r="A31" s="19">
        <v>46300.94677371527</v>
      </c>
      <c r="B31" s="20">
        <v>6.90631046E8</v>
      </c>
      <c r="C31" s="21"/>
      <c r="D31" s="21" t="s">
        <v>504</v>
      </c>
      <c r="E31" s="21" t="s">
        <v>12</v>
      </c>
      <c r="F31" s="20">
        <v>16.0</v>
      </c>
      <c r="G31" s="21" t="s">
        <v>505</v>
      </c>
      <c r="H31" s="21" t="s">
        <v>12</v>
      </c>
      <c r="I31" s="20">
        <v>6.0</v>
      </c>
      <c r="J31" s="21" t="s">
        <v>506</v>
      </c>
      <c r="K31" s="21" t="s">
        <v>12</v>
      </c>
      <c r="L31" s="20">
        <v>6.0</v>
      </c>
      <c r="M31" s="21" t="s">
        <v>507</v>
      </c>
      <c r="N31" s="21" t="s">
        <v>8</v>
      </c>
      <c r="O31" s="22" t="s">
        <v>508</v>
      </c>
      <c r="P31" s="21" t="s">
        <v>509</v>
      </c>
      <c r="Q31" s="21" t="s">
        <v>17</v>
      </c>
      <c r="R31" s="22" t="s">
        <v>508</v>
      </c>
      <c r="S31" s="21" t="s">
        <v>510</v>
      </c>
      <c r="T31" s="21" t="s">
        <v>35</v>
      </c>
      <c r="U31" s="20">
        <v>26.0</v>
      </c>
      <c r="V31" s="21" t="s">
        <v>511</v>
      </c>
      <c r="W31" s="20">
        <v>1150.0</v>
      </c>
      <c r="X31" s="20">
        <v>6.0</v>
      </c>
      <c r="Y31" s="21" t="s">
        <v>512</v>
      </c>
      <c r="Z31" s="20">
        <v>943.0</v>
      </c>
      <c r="AA31" s="20">
        <v>16.0</v>
      </c>
      <c r="AB31" s="21" t="s">
        <v>513</v>
      </c>
      <c r="AC31" s="20">
        <v>20.0</v>
      </c>
      <c r="AD31" s="20">
        <v>66.0</v>
      </c>
      <c r="AE31" s="21" t="s">
        <v>514</v>
      </c>
      <c r="AF31" s="21" t="s">
        <v>515</v>
      </c>
      <c r="AG31" s="20">
        <v>76.0</v>
      </c>
      <c r="AH31" s="21" t="s">
        <v>516</v>
      </c>
      <c r="AI31" s="21" t="s">
        <v>517</v>
      </c>
      <c r="AJ31" s="20">
        <v>86.0</v>
      </c>
      <c r="AK31" s="21" t="s">
        <v>518</v>
      </c>
      <c r="AL31" s="22" t="s">
        <v>519</v>
      </c>
      <c r="AM31" s="23">
        <v>96.0</v>
      </c>
      <c r="AN31" s="11"/>
      <c r="AO31" s="11"/>
      <c r="AP31" s="11"/>
      <c r="AQ31" s="11"/>
      <c r="AR31" s="11"/>
      <c r="AS31" s="11"/>
    </row>
    <row r="32">
      <c r="A32" s="12">
        <v>46300.972812824075</v>
      </c>
      <c r="B32" s="13">
        <v>6.70610721E8</v>
      </c>
      <c r="C32" s="14"/>
      <c r="D32" s="14" t="s">
        <v>520</v>
      </c>
      <c r="E32" s="14" t="s">
        <v>10</v>
      </c>
      <c r="F32" s="13">
        <v>41.0</v>
      </c>
      <c r="G32" s="14" t="s">
        <v>521</v>
      </c>
      <c r="H32" s="14" t="s">
        <v>12</v>
      </c>
      <c r="I32" s="13">
        <v>61.0</v>
      </c>
      <c r="J32" s="29"/>
      <c r="K32" s="29"/>
      <c r="L32" s="29"/>
      <c r="M32" s="14" t="s">
        <v>522</v>
      </c>
      <c r="N32" s="14" t="s">
        <v>8</v>
      </c>
      <c r="O32" s="13">
        <v>91.0</v>
      </c>
      <c r="P32" s="14" t="s">
        <v>523</v>
      </c>
      <c r="Q32" s="14" t="s">
        <v>17</v>
      </c>
      <c r="R32" s="13">
        <v>21.0</v>
      </c>
      <c r="S32" s="29"/>
      <c r="T32" s="29"/>
      <c r="U32" s="29"/>
      <c r="V32" s="14" t="s">
        <v>524</v>
      </c>
      <c r="W32" s="13">
        <v>1240.0</v>
      </c>
      <c r="X32" s="13">
        <v>41.0</v>
      </c>
      <c r="Y32" s="14" t="s">
        <v>525</v>
      </c>
      <c r="Z32" s="13">
        <v>10000.0</v>
      </c>
      <c r="AA32" s="13">
        <v>81.0</v>
      </c>
      <c r="AB32" s="29"/>
      <c r="AC32" s="29"/>
      <c r="AD32" s="29"/>
      <c r="AE32" s="14" t="s">
        <v>526</v>
      </c>
      <c r="AF32" s="15" t="s">
        <v>527</v>
      </c>
      <c r="AG32" s="13">
        <v>1.0</v>
      </c>
      <c r="AH32" s="14" t="s">
        <v>528</v>
      </c>
      <c r="AI32" s="14" t="s">
        <v>529</v>
      </c>
      <c r="AJ32" s="13">
        <v>21.0</v>
      </c>
      <c r="AK32" s="29"/>
      <c r="AL32" s="29"/>
      <c r="AM32" s="30"/>
      <c r="AN32" s="11"/>
      <c r="AO32" s="11"/>
      <c r="AP32" s="11"/>
      <c r="AQ32" s="11"/>
      <c r="AR32" s="11"/>
      <c r="AS32" s="11"/>
    </row>
    <row r="33">
      <c r="A33" s="19">
        <v>46300.99255038194</v>
      </c>
      <c r="B33" s="20">
        <v>6.70610697E8</v>
      </c>
      <c r="C33" s="21"/>
      <c r="D33" s="21" t="s">
        <v>530</v>
      </c>
      <c r="E33" s="21" t="s">
        <v>12</v>
      </c>
      <c r="F33" s="22" t="s">
        <v>238</v>
      </c>
      <c r="G33" s="21" t="s">
        <v>531</v>
      </c>
      <c r="H33" s="21" t="s">
        <v>12</v>
      </c>
      <c r="I33" s="22" t="s">
        <v>122</v>
      </c>
      <c r="J33" s="21" t="s">
        <v>532</v>
      </c>
      <c r="K33" s="21" t="s">
        <v>12</v>
      </c>
      <c r="L33" s="20">
        <v>87.0</v>
      </c>
      <c r="M33" s="21" t="s">
        <v>533</v>
      </c>
      <c r="N33" s="21" t="s">
        <v>56</v>
      </c>
      <c r="O33" s="22" t="s">
        <v>238</v>
      </c>
      <c r="P33" s="21" t="s">
        <v>534</v>
      </c>
      <c r="Q33" s="21" t="s">
        <v>56</v>
      </c>
      <c r="R33" s="22" t="s">
        <v>113</v>
      </c>
      <c r="S33" s="21" t="s">
        <v>535</v>
      </c>
      <c r="T33" s="21" t="s">
        <v>56</v>
      </c>
      <c r="U33" s="22" t="s">
        <v>111</v>
      </c>
      <c r="V33" s="21" t="s">
        <v>536</v>
      </c>
      <c r="W33" s="20">
        <v>430.0</v>
      </c>
      <c r="X33" s="22" t="s">
        <v>117</v>
      </c>
      <c r="Y33" s="21" t="s">
        <v>537</v>
      </c>
      <c r="Z33" s="20">
        <v>60.0</v>
      </c>
      <c r="AA33" s="22" t="s">
        <v>117</v>
      </c>
      <c r="AB33" s="21" t="s">
        <v>538</v>
      </c>
      <c r="AC33" s="20">
        <v>36.0</v>
      </c>
      <c r="AD33" s="22" t="s">
        <v>119</v>
      </c>
      <c r="AE33" s="21" t="s">
        <v>539</v>
      </c>
      <c r="AF33" s="21" t="s">
        <v>540</v>
      </c>
      <c r="AG33" s="22" t="s">
        <v>453</v>
      </c>
      <c r="AH33" s="21" t="s">
        <v>541</v>
      </c>
      <c r="AI33" s="21" t="s">
        <v>542</v>
      </c>
      <c r="AJ33" s="22" t="s">
        <v>238</v>
      </c>
      <c r="AK33" s="21" t="s">
        <v>543</v>
      </c>
      <c r="AL33" s="21" t="s">
        <v>283</v>
      </c>
      <c r="AM33" s="31" t="s">
        <v>122</v>
      </c>
      <c r="AN33" s="11"/>
      <c r="AO33" s="11"/>
      <c r="AP33" s="11"/>
      <c r="AQ33" s="11"/>
      <c r="AR33" s="11"/>
      <c r="AS33" s="11"/>
    </row>
    <row r="34">
      <c r="A34" s="42">
        <v>46301.110437800926</v>
      </c>
      <c r="B34" s="43">
        <v>6.70610734E8</v>
      </c>
      <c r="C34" s="44"/>
      <c r="D34" s="45" t="s">
        <v>544</v>
      </c>
      <c r="E34" s="44" t="s">
        <v>10</v>
      </c>
      <c r="F34" s="43">
        <v>4.0</v>
      </c>
      <c r="G34" s="45" t="s">
        <v>545</v>
      </c>
      <c r="H34" s="44" t="s">
        <v>12</v>
      </c>
      <c r="I34" s="43">
        <v>14.0</v>
      </c>
      <c r="J34" s="45" t="s">
        <v>546</v>
      </c>
      <c r="K34" s="44" t="s">
        <v>12</v>
      </c>
      <c r="L34" s="43">
        <v>74.0</v>
      </c>
      <c r="M34" s="45" t="s">
        <v>547</v>
      </c>
      <c r="N34" s="44" t="s">
        <v>147</v>
      </c>
      <c r="O34" s="43">
        <v>14.0</v>
      </c>
      <c r="P34" s="45" t="s">
        <v>548</v>
      </c>
      <c r="Q34" s="44" t="s">
        <v>56</v>
      </c>
      <c r="R34" s="43">
        <v>84.0</v>
      </c>
      <c r="S34" s="46"/>
      <c r="T34" s="46"/>
      <c r="U34" s="46"/>
      <c r="V34" s="45" t="s">
        <v>549</v>
      </c>
      <c r="W34" s="43">
        <v>7.0</v>
      </c>
      <c r="X34" s="43">
        <v>94.0</v>
      </c>
      <c r="Y34" s="45" t="s">
        <v>550</v>
      </c>
      <c r="Z34" s="43">
        <v>3.0</v>
      </c>
      <c r="AA34" s="43">
        <v>54.0</v>
      </c>
      <c r="AB34" s="46"/>
      <c r="AC34" s="46"/>
      <c r="AD34" s="46"/>
      <c r="AE34" s="45" t="s">
        <v>551</v>
      </c>
      <c r="AF34" s="44" t="s">
        <v>552</v>
      </c>
      <c r="AG34" s="43">
        <v>24.0</v>
      </c>
      <c r="AH34" s="45" t="s">
        <v>553</v>
      </c>
      <c r="AI34" s="44" t="s">
        <v>554</v>
      </c>
      <c r="AJ34" s="43">
        <v>64.0</v>
      </c>
      <c r="AK34" s="46"/>
      <c r="AL34" s="46"/>
      <c r="AM34" s="47"/>
      <c r="AN34" s="48"/>
      <c r="AO34" s="48"/>
      <c r="AP34" s="48"/>
      <c r="AQ34" s="48"/>
      <c r="AR34" s="48"/>
      <c r="AS34" s="48"/>
    </row>
  </sheetData>
  <drawing r:id="rId1"/>
  <tableParts count="1">
    <tablePart r:id="rId3"/>
  </tableParts>
</worksheet>
</file>